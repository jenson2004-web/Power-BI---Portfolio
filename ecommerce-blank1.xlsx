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Users\acer\Downloads\"/>
    </mc:Choice>
  </mc:AlternateContent>
  <xr:revisionPtr revIDLastSave="0" documentId="13_ncr:1_{25044BC3-2933-4DF3-BA7A-7389C10E78D3}" xr6:coauthVersionLast="47" xr6:coauthVersionMax="47" xr10:uidLastSave="{00000000-0000-0000-0000-000000000000}"/>
  <bookViews>
    <workbookView xWindow="-120" yWindow="-120" windowWidth="20730" windowHeight="11040" xr2:uid="{346724B3-1C49-40AE-AA36-C77CF5D6DD09}"/>
  </bookViews>
  <sheets>
    <sheet name="e commerce dashboard" sheetId="6" r:id="rId1"/>
    <sheet name="Sheet20" sheetId="24" r:id="rId2"/>
    <sheet name="Sheet21" sheetId="25" r:id="rId3"/>
    <sheet name="Sheet22" sheetId="26" r:id="rId4"/>
    <sheet name="Data" sheetId="1" r:id="rId5"/>
    <sheet name="Sheet1" sheetId="5" r:id="rId6"/>
    <sheet name="Questions &amp; KPIs" sheetId="2" r:id="rId7"/>
    <sheet name="Dashboard" sheetId="3" r:id="rId8"/>
    <sheet name="Logo &amp; Colors" sheetId="4" r:id="rId9"/>
  </sheets>
  <definedNames>
    <definedName name="_xlchart.v5.0" hidden="1">Sheet20!$F$3:$G$3</definedName>
    <definedName name="_xlchart.v5.1" hidden="1">Sheet20!$F$4:$G$63</definedName>
    <definedName name="_xlchart.v5.2" hidden="1">Sheet20!$H$3</definedName>
    <definedName name="_xlchart.v5.3" hidden="1">Sheet20!$H$4:$H$63</definedName>
    <definedName name="_xlchart.v5.4" hidden="1">Sheet20!$I$3</definedName>
    <definedName name="_xlchart.v5.5" hidden="1">Sheet20!$I$4:$I$63</definedName>
    <definedName name="_xlchart.v5.6" hidden="1">Sheet20!$A$2:$B$2</definedName>
    <definedName name="_xlchart.v5.7" hidden="1">Sheet20!$A$3:$B$63</definedName>
    <definedName name="_xlchart.v5.8" hidden="1">Sheet20!$C$2</definedName>
    <definedName name="_xlchart.v5.9" hidden="1">Sheet20!$C$3:$C$63</definedName>
    <definedName name="Slicer_Customer_Gender">#N/A</definedName>
    <definedName name="Slicer_Gender_Value">#N/A</definedName>
    <definedName name="Slicer_Order_Mode">#N/A</definedName>
  </definedNames>
  <calcPr calcId="191029"/>
  <pivotCaches>
    <pivotCache cacheId="61"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6" i="5" l="1"/>
  <c r="J6" i="5"/>
  <c r="L6" i="5"/>
  <c r="K6" i="5"/>
  <c r="H6" i="5"/>
  <c r="O2401" i="1" a="1"/>
  <c r="O2401" i="1" s="1"/>
  <c r="N2401" i="1"/>
  <c r="M2401" i="1"/>
  <c r="O2400" i="1" a="1"/>
  <c r="O2400" i="1" s="1"/>
  <c r="N2400" i="1"/>
  <c r="M2400" i="1"/>
  <c r="O2399" i="1" a="1"/>
  <c r="O2399" i="1" s="1"/>
  <c r="N2399" i="1"/>
  <c r="M2399" i="1"/>
  <c r="O2398" i="1"/>
  <c r="O2398" i="1" a="1"/>
  <c r="N2398" i="1"/>
  <c r="M2398" i="1"/>
  <c r="O2397" i="1"/>
  <c r="O2397" i="1" a="1"/>
  <c r="N2397" i="1"/>
  <c r="M2397" i="1"/>
  <c r="O2396" i="1" a="1"/>
  <c r="O2396" i="1" s="1"/>
  <c r="N2396" i="1"/>
  <c r="M2396" i="1"/>
  <c r="O2395" i="1" a="1"/>
  <c r="O2395" i="1" s="1"/>
  <c r="N2395" i="1"/>
  <c r="M2395" i="1"/>
  <c r="O2394" i="1" a="1"/>
  <c r="O2394" i="1" s="1"/>
  <c r="N2394" i="1"/>
  <c r="M2394" i="1"/>
  <c r="O2393" i="1" a="1"/>
  <c r="O2393" i="1" s="1"/>
  <c r="N2393" i="1"/>
  <c r="M2393" i="1"/>
  <c r="O2392" i="1"/>
  <c r="O2392" i="1" a="1"/>
  <c r="N2392" i="1"/>
  <c r="M2392" i="1"/>
  <c r="O2391" i="1" a="1"/>
  <c r="O2391" i="1" s="1"/>
  <c r="N2391" i="1"/>
  <c r="M2391" i="1"/>
  <c r="O2390" i="1"/>
  <c r="O2390" i="1" a="1"/>
  <c r="N2390" i="1"/>
  <c r="M2390" i="1"/>
  <c r="O2389" i="1" a="1"/>
  <c r="O2389" i="1" s="1"/>
  <c r="N2389" i="1"/>
  <c r="M2389" i="1"/>
  <c r="O2388" i="1"/>
  <c r="O2388" i="1" a="1"/>
  <c r="N2388" i="1"/>
  <c r="M2388" i="1"/>
  <c r="O2387" i="1" a="1"/>
  <c r="O2387" i="1" s="1"/>
  <c r="N2387" i="1"/>
  <c r="M2387" i="1"/>
  <c r="O2386" i="1" a="1"/>
  <c r="O2386" i="1" s="1"/>
  <c r="N2386" i="1"/>
  <c r="M2386" i="1"/>
  <c r="O2385" i="1"/>
  <c r="O2385" i="1" a="1"/>
  <c r="N2385" i="1"/>
  <c r="M2385" i="1"/>
  <c r="O2384" i="1"/>
  <c r="O2384" i="1" a="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c r="O2377" i="1" a="1"/>
  <c r="N2377" i="1"/>
  <c r="M2377" i="1"/>
  <c r="O2376" i="1" a="1"/>
  <c r="O2376" i="1" s="1"/>
  <c r="N2376" i="1"/>
  <c r="M2376" i="1"/>
  <c r="O2375" i="1"/>
  <c r="O2375" i="1" a="1"/>
  <c r="N2375" i="1"/>
  <c r="M2375" i="1"/>
  <c r="O2374" i="1" a="1"/>
  <c r="O2374" i="1" s="1"/>
  <c r="N2374" i="1"/>
  <c r="M2374" i="1"/>
  <c r="O2373" i="1" a="1"/>
  <c r="O2373" i="1" s="1"/>
  <c r="N2373" i="1"/>
  <c r="M2373" i="1"/>
  <c r="O2372" i="1"/>
  <c r="O2372" i="1" a="1"/>
  <c r="N2372" i="1"/>
  <c r="M2372" i="1"/>
  <c r="O2371" i="1" a="1"/>
  <c r="O2371" i="1" s="1"/>
  <c r="N2371" i="1"/>
  <c r="M2371" i="1"/>
  <c r="O2370" i="1" a="1"/>
  <c r="O2370" i="1" s="1"/>
  <c r="N2370" i="1"/>
  <c r="M2370" i="1"/>
  <c r="O2369" i="1" a="1"/>
  <c r="O2369" i="1" s="1"/>
  <c r="N2369" i="1"/>
  <c r="M2369" i="1"/>
  <c r="O2368" i="1"/>
  <c r="O2368" i="1" a="1"/>
  <c r="N2368" i="1"/>
  <c r="M2368" i="1"/>
  <c r="O2367" i="1"/>
  <c r="O2367" i="1" a="1"/>
  <c r="N2367" i="1"/>
  <c r="M2367" i="1"/>
  <c r="O2366" i="1" a="1"/>
  <c r="O2366" i="1" s="1"/>
  <c r="N2366" i="1"/>
  <c r="M2366" i="1"/>
  <c r="O2365" i="1" a="1"/>
  <c r="O2365" i="1" s="1"/>
  <c r="N2365" i="1"/>
  <c r="M2365" i="1"/>
  <c r="O2364" i="1"/>
  <c r="O2364" i="1" a="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c r="O2358" i="1" a="1"/>
  <c r="N2358" i="1"/>
  <c r="M2358" i="1"/>
  <c r="O2357" i="1" a="1"/>
  <c r="O2357" i="1" s="1"/>
  <c r="N2357" i="1"/>
  <c r="M2357" i="1"/>
  <c r="O2356" i="1"/>
  <c r="O2356" i="1" a="1"/>
  <c r="N2356" i="1"/>
  <c r="M2356" i="1"/>
  <c r="O2355" i="1"/>
  <c r="O2355" i="1" a="1"/>
  <c r="N2355" i="1"/>
  <c r="M2355" i="1"/>
  <c r="O2354" i="1" a="1"/>
  <c r="O2354" i="1" s="1"/>
  <c r="N2354" i="1"/>
  <c r="M2354" i="1"/>
  <c r="O2353" i="1" a="1"/>
  <c r="O2353" i="1" s="1"/>
  <c r="N2353" i="1"/>
  <c r="M2353" i="1"/>
  <c r="O2352" i="1" a="1"/>
  <c r="O2352" i="1" s="1"/>
  <c r="N2352" i="1"/>
  <c r="M2352" i="1"/>
  <c r="O2351" i="1" a="1"/>
  <c r="O2351" i="1" s="1"/>
  <c r="N2351" i="1"/>
  <c r="M2351" i="1"/>
  <c r="O2350" i="1"/>
  <c r="O2350" i="1" a="1"/>
  <c r="N2350" i="1"/>
  <c r="M2350" i="1"/>
  <c r="O2349" i="1"/>
  <c r="O2349" i="1" a="1"/>
  <c r="N2349" i="1"/>
  <c r="M2349" i="1"/>
  <c r="O2348" i="1" a="1"/>
  <c r="O2348" i="1" s="1"/>
  <c r="N2348" i="1"/>
  <c r="M2348" i="1"/>
  <c r="O2347" i="1" a="1"/>
  <c r="O2347" i="1" s="1"/>
  <c r="N2347" i="1"/>
  <c r="M2347" i="1"/>
  <c r="O2346" i="1"/>
  <c r="O2346" i="1" a="1"/>
  <c r="N2346" i="1"/>
  <c r="M2346" i="1"/>
  <c r="O2345" i="1" a="1"/>
  <c r="O2345" i="1" s="1"/>
  <c r="N2345" i="1"/>
  <c r="M2345" i="1"/>
  <c r="O2344" i="1" a="1"/>
  <c r="O2344" i="1" s="1"/>
  <c r="N2344" i="1"/>
  <c r="M2344" i="1"/>
  <c r="O2343" i="1"/>
  <c r="O2343" i="1" a="1"/>
  <c r="N2343" i="1"/>
  <c r="M2343" i="1"/>
  <c r="O2342" i="1" a="1"/>
  <c r="O2342" i="1" s="1"/>
  <c r="N2342" i="1"/>
  <c r="M2342" i="1"/>
  <c r="O2341" i="1" a="1"/>
  <c r="O2341" i="1" s="1"/>
  <c r="N2341" i="1"/>
  <c r="M2341" i="1"/>
  <c r="O2340" i="1" a="1"/>
  <c r="O2340" i="1" s="1"/>
  <c r="N2340" i="1"/>
  <c r="M2340" i="1"/>
  <c r="O2339" i="1"/>
  <c r="O2339" i="1" a="1"/>
  <c r="N2339" i="1"/>
  <c r="M2339" i="1"/>
  <c r="O2338" i="1" a="1"/>
  <c r="O2338" i="1" s="1"/>
  <c r="N2338" i="1"/>
  <c r="M2338" i="1"/>
  <c r="O2337" i="1" a="1"/>
  <c r="O2337" i="1" s="1"/>
  <c r="N2337" i="1"/>
  <c r="M2337" i="1"/>
  <c r="O2336" i="1" a="1"/>
  <c r="O2336" i="1" s="1"/>
  <c r="N2336" i="1"/>
  <c r="M2336" i="1"/>
  <c r="O2335" i="1"/>
  <c r="O2335" i="1" a="1"/>
  <c r="N2335" i="1"/>
  <c r="M2335" i="1"/>
  <c r="O2334" i="1" a="1"/>
  <c r="O2334" i="1" s="1"/>
  <c r="N2334" i="1"/>
  <c r="M2334" i="1"/>
  <c r="O2333" i="1" a="1"/>
  <c r="O2333" i="1" s="1"/>
  <c r="N2333" i="1"/>
  <c r="M2333" i="1"/>
  <c r="O2332" i="1"/>
  <c r="O2332" i="1" a="1"/>
  <c r="N2332" i="1"/>
  <c r="M2332" i="1"/>
  <c r="O2331" i="1" a="1"/>
  <c r="O2331" i="1" s="1"/>
  <c r="N2331" i="1"/>
  <c r="M2331" i="1"/>
  <c r="O2330" i="1" a="1"/>
  <c r="O2330" i="1" s="1"/>
  <c r="N2330" i="1"/>
  <c r="M2330" i="1"/>
  <c r="O2329" i="1"/>
  <c r="O2329" i="1" a="1"/>
  <c r="N2329" i="1"/>
  <c r="M2329" i="1"/>
  <c r="O2328" i="1" a="1"/>
  <c r="O2328" i="1" s="1"/>
  <c r="N2328" i="1"/>
  <c r="M2328" i="1"/>
  <c r="O2327" i="1"/>
  <c r="O2327" i="1" a="1"/>
  <c r="N2327" i="1"/>
  <c r="M2327" i="1"/>
  <c r="O2326" i="1"/>
  <c r="O2326" i="1" a="1"/>
  <c r="N2326" i="1"/>
  <c r="M2326" i="1"/>
  <c r="O2325" i="1" a="1"/>
  <c r="O2325" i="1" s="1"/>
  <c r="N2325" i="1"/>
  <c r="M2325" i="1"/>
  <c r="O2324" i="1" a="1"/>
  <c r="O2324" i="1" s="1"/>
  <c r="N2324" i="1"/>
  <c r="M2324" i="1"/>
  <c r="O2323" i="1"/>
  <c r="O2323" i="1" a="1"/>
  <c r="N2323" i="1"/>
  <c r="M2323" i="1"/>
  <c r="O2322" i="1" a="1"/>
  <c r="O2322" i="1" s="1"/>
  <c r="N2322" i="1"/>
  <c r="M2322" i="1"/>
  <c r="O2321" i="1"/>
  <c r="O2321" i="1" a="1"/>
  <c r="N2321" i="1"/>
  <c r="M2321" i="1"/>
  <c r="O2320" i="1" a="1"/>
  <c r="O2320" i="1" s="1"/>
  <c r="N2320" i="1"/>
  <c r="M2320" i="1"/>
  <c r="O2319" i="1"/>
  <c r="O2319" i="1" a="1"/>
  <c r="N2319" i="1"/>
  <c r="M2319" i="1"/>
  <c r="O2318" i="1" a="1"/>
  <c r="O2318" i="1" s="1"/>
  <c r="N2318" i="1"/>
  <c r="M2318" i="1"/>
  <c r="O2317" i="1" a="1"/>
  <c r="O2317" i="1" s="1"/>
  <c r="N2317" i="1"/>
  <c r="M2317" i="1"/>
  <c r="O2316" i="1"/>
  <c r="O2316" i="1" a="1"/>
  <c r="N2316" i="1"/>
  <c r="M2316" i="1"/>
  <c r="O2315" i="1" a="1"/>
  <c r="O2315" i="1" s="1"/>
  <c r="N2315" i="1"/>
  <c r="M2315" i="1"/>
  <c r="O2314" i="1"/>
  <c r="O2314" i="1" a="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c r="O2308" i="1" a="1"/>
  <c r="N2308" i="1"/>
  <c r="M2308" i="1"/>
  <c r="O2307" i="1" a="1"/>
  <c r="O2307" i="1" s="1"/>
  <c r="N2307" i="1"/>
  <c r="M2307" i="1"/>
  <c r="O2306" i="1"/>
  <c r="O2306" i="1" a="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c r="O2300" i="1" a="1"/>
  <c r="N2300" i="1"/>
  <c r="M2300" i="1"/>
  <c r="O2299" i="1" a="1"/>
  <c r="O2299" i="1" s="1"/>
  <c r="N2299" i="1"/>
  <c r="M2299" i="1"/>
  <c r="O2298" i="1"/>
  <c r="O2298" i="1" a="1"/>
  <c r="N2298" i="1"/>
  <c r="M2298" i="1"/>
  <c r="O2297" i="1"/>
  <c r="O2297" i="1" a="1"/>
  <c r="N2297" i="1"/>
  <c r="M2297" i="1"/>
  <c r="O2296" i="1" a="1"/>
  <c r="O2296" i="1" s="1"/>
  <c r="N2296" i="1"/>
  <c r="M2296" i="1"/>
  <c r="O2295" i="1"/>
  <c r="O2295" i="1" a="1"/>
  <c r="N2295" i="1"/>
  <c r="M2295" i="1"/>
  <c r="O2294" i="1"/>
  <c r="O2294" i="1" a="1"/>
  <c r="N2294" i="1"/>
  <c r="M2294" i="1"/>
  <c r="O2293" i="1" a="1"/>
  <c r="O2293" i="1" s="1"/>
  <c r="N2293" i="1"/>
  <c r="M2293" i="1"/>
  <c r="O2292" i="1"/>
  <c r="O2292" i="1" a="1"/>
  <c r="N2292" i="1"/>
  <c r="M2292" i="1"/>
  <c r="O2291" i="1"/>
  <c r="O2291" i="1" a="1"/>
  <c r="N2291" i="1"/>
  <c r="M2291" i="1"/>
  <c r="O2290" i="1"/>
  <c r="O2290" i="1" a="1"/>
  <c r="N2290" i="1"/>
  <c r="M2290" i="1"/>
  <c r="O2289" i="1" a="1"/>
  <c r="O2289" i="1" s="1"/>
  <c r="N2289" i="1"/>
  <c r="M2289" i="1"/>
  <c r="O2288" i="1"/>
  <c r="O2288" i="1" a="1"/>
  <c r="N2288" i="1"/>
  <c r="M2288" i="1"/>
  <c r="O2287" i="1"/>
  <c r="O2287" i="1" a="1"/>
  <c r="N2287" i="1"/>
  <c r="M2287" i="1"/>
  <c r="O2286" i="1"/>
  <c r="O2286" i="1" a="1"/>
  <c r="N2286" i="1"/>
  <c r="M2286" i="1"/>
  <c r="O2285" i="1"/>
  <c r="O2285" i="1" a="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c r="O2279" i="1" a="1"/>
  <c r="N2279" i="1"/>
  <c r="M2279" i="1"/>
  <c r="O2278" i="1" a="1"/>
  <c r="O2278" i="1" s="1"/>
  <c r="N2278" i="1"/>
  <c r="M2278" i="1"/>
  <c r="O2277" i="1"/>
  <c r="O2277" i="1" a="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c r="O2271" i="1" a="1"/>
  <c r="N2271" i="1"/>
  <c r="M2271" i="1"/>
  <c r="O2270" i="1" a="1"/>
  <c r="O2270" i="1" s="1"/>
  <c r="N2270" i="1"/>
  <c r="M2270" i="1"/>
  <c r="O2269" i="1"/>
  <c r="O2269" i="1" a="1"/>
  <c r="N2269" i="1"/>
  <c r="M2269" i="1"/>
  <c r="O2268" i="1" a="1"/>
  <c r="O2268" i="1" s="1"/>
  <c r="N2268" i="1"/>
  <c r="M2268" i="1"/>
  <c r="O2267" i="1" a="1"/>
  <c r="O2267" i="1" s="1"/>
  <c r="N2267" i="1"/>
  <c r="M2267" i="1"/>
  <c r="O2266" i="1"/>
  <c r="O2266" i="1" a="1"/>
  <c r="N2266" i="1"/>
  <c r="M2266" i="1"/>
  <c r="O2265" i="1"/>
  <c r="O2265" i="1" a="1"/>
  <c r="N2265" i="1"/>
  <c r="M2265" i="1"/>
  <c r="O2264" i="1" a="1"/>
  <c r="O2264" i="1" s="1"/>
  <c r="N2264" i="1"/>
  <c r="M2264" i="1"/>
  <c r="O2263" i="1"/>
  <c r="O2263" i="1" a="1"/>
  <c r="N2263" i="1"/>
  <c r="M2263" i="1"/>
  <c r="O2262" i="1" a="1"/>
  <c r="O2262" i="1" s="1"/>
  <c r="N2262" i="1"/>
  <c r="M2262" i="1"/>
  <c r="O2261" i="1" a="1"/>
  <c r="O2261" i="1" s="1"/>
  <c r="N2261" i="1"/>
  <c r="M2261" i="1"/>
  <c r="O2260" i="1" a="1"/>
  <c r="O2260" i="1" s="1"/>
  <c r="N2260" i="1"/>
  <c r="M2260" i="1"/>
  <c r="O2259" i="1" a="1"/>
  <c r="O2259" i="1" s="1"/>
  <c r="N2259" i="1"/>
  <c r="M2259" i="1"/>
  <c r="O2258" i="1"/>
  <c r="O2258" i="1" a="1"/>
  <c r="N2258" i="1"/>
  <c r="M2258" i="1"/>
  <c r="O2257" i="1" a="1"/>
  <c r="O2257" i="1" s="1"/>
  <c r="N2257" i="1"/>
  <c r="M2257" i="1"/>
  <c r="O2256" i="1"/>
  <c r="O2256" i="1" a="1"/>
  <c r="N2256" i="1"/>
  <c r="M2256" i="1"/>
  <c r="O2255" i="1" a="1"/>
  <c r="O2255" i="1" s="1"/>
  <c r="N2255" i="1"/>
  <c r="M2255" i="1"/>
  <c r="O2254" i="1" a="1"/>
  <c r="O2254" i="1" s="1"/>
  <c r="N2254" i="1"/>
  <c r="M2254" i="1"/>
  <c r="O2253" i="1" a="1"/>
  <c r="O2253" i="1" s="1"/>
  <c r="N2253" i="1"/>
  <c r="M2253" i="1"/>
  <c r="O2252" i="1"/>
  <c r="O2252" i="1" a="1"/>
  <c r="N2252" i="1"/>
  <c r="M2252" i="1"/>
  <c r="O2251" i="1" a="1"/>
  <c r="O2251" i="1" s="1"/>
  <c r="N2251" i="1"/>
  <c r="M2251" i="1"/>
  <c r="O2250" i="1"/>
  <c r="O2250" i="1" a="1"/>
  <c r="N2250" i="1"/>
  <c r="M2250" i="1"/>
  <c r="O2249" i="1" a="1"/>
  <c r="O2249" i="1" s="1"/>
  <c r="N2249" i="1"/>
  <c r="M2249" i="1"/>
  <c r="O2248" i="1"/>
  <c r="O2248" i="1" a="1"/>
  <c r="N2248" i="1"/>
  <c r="M2248" i="1"/>
  <c r="O2247" i="1" a="1"/>
  <c r="O2247" i="1" s="1"/>
  <c r="N2247" i="1"/>
  <c r="M2247" i="1"/>
  <c r="O2246" i="1"/>
  <c r="O2246" i="1" a="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c r="O2239" i="1" a="1"/>
  <c r="N2239" i="1"/>
  <c r="M2239" i="1"/>
  <c r="O2238" i="1" a="1"/>
  <c r="O2238" i="1" s="1"/>
  <c r="N2238" i="1"/>
  <c r="M2238" i="1"/>
  <c r="O2237" i="1"/>
  <c r="O2237" i="1" a="1"/>
  <c r="N2237" i="1"/>
  <c r="M2237" i="1"/>
  <c r="O2236" i="1" a="1"/>
  <c r="O2236" i="1" s="1"/>
  <c r="N2236" i="1"/>
  <c r="M2236" i="1"/>
  <c r="O2235" i="1"/>
  <c r="O2235" i="1" a="1"/>
  <c r="N2235" i="1"/>
  <c r="M2235" i="1"/>
  <c r="O2234" i="1"/>
  <c r="O2234" i="1" a="1"/>
  <c r="N2234" i="1"/>
  <c r="M2234" i="1"/>
  <c r="O2233" i="1" a="1"/>
  <c r="O2233" i="1" s="1"/>
  <c r="N2233" i="1"/>
  <c r="M2233" i="1"/>
  <c r="O2232" i="1"/>
  <c r="O2232" i="1" a="1"/>
  <c r="N2232" i="1"/>
  <c r="M2232" i="1"/>
  <c r="O2231" i="1" a="1"/>
  <c r="O2231" i="1" s="1"/>
  <c r="N2231" i="1"/>
  <c r="M2231" i="1"/>
  <c r="O2230" i="1" a="1"/>
  <c r="O2230" i="1" s="1"/>
  <c r="N2230" i="1"/>
  <c r="M2230" i="1"/>
  <c r="O2229" i="1" a="1"/>
  <c r="O2229" i="1" s="1"/>
  <c r="N2229" i="1"/>
  <c r="M2229" i="1"/>
  <c r="O2228" i="1" a="1"/>
  <c r="O2228" i="1" s="1"/>
  <c r="N2228" i="1"/>
  <c r="M2228" i="1"/>
  <c r="O2227" i="1"/>
  <c r="O2227" i="1" a="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c r="O2220" i="1" a="1"/>
  <c r="N2220" i="1"/>
  <c r="M2220" i="1"/>
  <c r="O2219" i="1" a="1"/>
  <c r="O2219" i="1" s="1"/>
  <c r="N2219" i="1"/>
  <c r="M2219" i="1"/>
  <c r="O2218" i="1"/>
  <c r="O2218" i="1" a="1"/>
  <c r="N2218" i="1"/>
  <c r="M2218" i="1"/>
  <c r="O2217" i="1"/>
  <c r="O2217" i="1" a="1"/>
  <c r="N2217" i="1"/>
  <c r="M2217" i="1"/>
  <c r="O2216" i="1" a="1"/>
  <c r="O2216" i="1" s="1"/>
  <c r="N2216" i="1"/>
  <c r="M2216" i="1"/>
  <c r="O2215" i="1" a="1"/>
  <c r="O2215" i="1" s="1"/>
  <c r="N2215" i="1"/>
  <c r="M2215" i="1"/>
  <c r="O2214" i="1" a="1"/>
  <c r="O2214" i="1" s="1"/>
  <c r="N2214" i="1"/>
  <c r="M2214" i="1"/>
  <c r="O2213" i="1"/>
  <c r="O2213" i="1" a="1"/>
  <c r="N2213" i="1"/>
  <c r="M2213" i="1"/>
  <c r="O2212" i="1" a="1"/>
  <c r="O2212" i="1" s="1"/>
  <c r="N2212" i="1"/>
  <c r="M2212" i="1"/>
  <c r="O2211" i="1" a="1"/>
  <c r="O2211" i="1" s="1"/>
  <c r="N2211" i="1"/>
  <c r="M2211" i="1"/>
  <c r="O2210" i="1" a="1"/>
  <c r="O2210" i="1" s="1"/>
  <c r="N2210" i="1"/>
  <c r="M2210" i="1"/>
  <c r="O2209" i="1"/>
  <c r="O2209" i="1" a="1"/>
  <c r="N2209" i="1"/>
  <c r="M2209" i="1"/>
  <c r="O2208" i="1"/>
  <c r="O2208" i="1" a="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c r="O2200" i="1" a="1"/>
  <c r="N2200" i="1"/>
  <c r="M2200" i="1"/>
  <c r="O2199" i="1"/>
  <c r="O2199" i="1" a="1"/>
  <c r="N2199" i="1"/>
  <c r="M2199" i="1"/>
  <c r="O2198" i="1" a="1"/>
  <c r="O2198" i="1" s="1"/>
  <c r="N2198" i="1"/>
  <c r="M2198" i="1"/>
  <c r="O2197" i="1"/>
  <c r="O2197" i="1" a="1"/>
  <c r="N2197" i="1"/>
  <c r="M2197" i="1"/>
  <c r="O2196" i="1" a="1"/>
  <c r="O2196" i="1" s="1"/>
  <c r="N2196" i="1"/>
  <c r="M2196" i="1"/>
  <c r="O2195" i="1" a="1"/>
  <c r="O2195" i="1" s="1"/>
  <c r="N2195" i="1"/>
  <c r="M2195" i="1"/>
  <c r="O2194" i="1"/>
  <c r="O2194" i="1" a="1"/>
  <c r="N2194" i="1"/>
  <c r="M2194" i="1"/>
  <c r="O2193" i="1" a="1"/>
  <c r="O2193" i="1" s="1"/>
  <c r="N2193" i="1"/>
  <c r="M2193" i="1"/>
  <c r="O2192" i="1"/>
  <c r="O2192" i="1" a="1"/>
  <c r="N2192" i="1"/>
  <c r="M2192" i="1"/>
  <c r="O2191" i="1" a="1"/>
  <c r="O2191" i="1" s="1"/>
  <c r="N2191" i="1"/>
  <c r="M2191" i="1"/>
  <c r="O2190" i="1" a="1"/>
  <c r="O2190" i="1" s="1"/>
  <c r="N2190" i="1"/>
  <c r="M2190" i="1"/>
  <c r="O2189" i="1"/>
  <c r="O2189" i="1" a="1"/>
  <c r="N2189" i="1"/>
  <c r="M2189" i="1"/>
  <c r="O2188" i="1"/>
  <c r="O2188" i="1" a="1"/>
  <c r="N2188" i="1"/>
  <c r="M2188" i="1"/>
  <c r="O2187" i="1" a="1"/>
  <c r="O2187" i="1" s="1"/>
  <c r="N2187" i="1"/>
  <c r="M2187" i="1"/>
  <c r="O2186" i="1" a="1"/>
  <c r="O2186" i="1" s="1"/>
  <c r="N2186" i="1"/>
  <c r="M2186" i="1"/>
  <c r="O2185" i="1" a="1"/>
  <c r="O2185" i="1" s="1"/>
  <c r="N2185" i="1"/>
  <c r="M2185" i="1"/>
  <c r="O2184" i="1" a="1"/>
  <c r="O2184" i="1" s="1"/>
  <c r="N2184" i="1"/>
  <c r="M2184" i="1"/>
  <c r="O2183" i="1"/>
  <c r="O2183" i="1" a="1"/>
  <c r="N2183" i="1"/>
  <c r="M2183" i="1"/>
  <c r="O2182" i="1" a="1"/>
  <c r="O2182" i="1" s="1"/>
  <c r="N2182" i="1"/>
  <c r="M2182" i="1"/>
  <c r="O2181" i="1" a="1"/>
  <c r="O2181" i="1" s="1"/>
  <c r="N2181" i="1"/>
  <c r="M2181" i="1"/>
  <c r="O2180" i="1" a="1"/>
  <c r="O2180" i="1" s="1"/>
  <c r="N2180" i="1"/>
  <c r="M2180" i="1"/>
  <c r="O2179" i="1"/>
  <c r="O2179" i="1" a="1"/>
  <c r="N2179" i="1"/>
  <c r="M2179" i="1"/>
  <c r="O2178" i="1" a="1"/>
  <c r="O2178" i="1" s="1"/>
  <c r="N2178" i="1"/>
  <c r="M2178" i="1"/>
  <c r="O2177" i="1" a="1"/>
  <c r="O2177" i="1" s="1"/>
  <c r="N2177" i="1"/>
  <c r="M2177" i="1"/>
  <c r="O2176" i="1"/>
  <c r="O2176" i="1" a="1"/>
  <c r="N2176" i="1"/>
  <c r="M2176" i="1"/>
  <c r="O2175" i="1" a="1"/>
  <c r="O2175" i="1" s="1"/>
  <c r="N2175" i="1"/>
  <c r="M2175" i="1"/>
  <c r="O2174" i="1"/>
  <c r="O2174" i="1" a="1"/>
  <c r="N2174" i="1"/>
  <c r="M2174" i="1"/>
  <c r="O2173" i="1" a="1"/>
  <c r="O2173" i="1" s="1"/>
  <c r="N2173" i="1"/>
  <c r="M2173" i="1"/>
  <c r="O2172" i="1" a="1"/>
  <c r="O2172" i="1" s="1"/>
  <c r="N2172" i="1"/>
  <c r="M2172" i="1"/>
  <c r="O2171" i="1"/>
  <c r="O2171" i="1" a="1"/>
  <c r="N2171" i="1"/>
  <c r="M2171" i="1"/>
  <c r="O2170" i="1" a="1"/>
  <c r="O2170" i="1" s="1"/>
  <c r="N2170" i="1"/>
  <c r="M2170" i="1"/>
  <c r="O2169" i="1" a="1"/>
  <c r="O2169" i="1" s="1"/>
  <c r="N2169" i="1"/>
  <c r="M2169" i="1"/>
  <c r="O2168" i="1"/>
  <c r="O2168" i="1" a="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c r="O2159" i="1" a="1"/>
  <c r="N2159" i="1"/>
  <c r="M2159" i="1"/>
  <c r="O2158" i="1" a="1"/>
  <c r="O2158" i="1" s="1"/>
  <c r="N2158" i="1"/>
  <c r="M2158" i="1"/>
  <c r="O2157" i="1" a="1"/>
  <c r="O2157" i="1" s="1"/>
  <c r="N2157" i="1"/>
  <c r="M2157" i="1"/>
  <c r="O2156" i="1" a="1"/>
  <c r="O2156" i="1" s="1"/>
  <c r="N2156" i="1"/>
  <c r="M2156" i="1"/>
  <c r="O2155" i="1"/>
  <c r="O2155" i="1" a="1"/>
  <c r="N2155" i="1"/>
  <c r="M2155" i="1"/>
  <c r="O2154" i="1"/>
  <c r="O2154" i="1" a="1"/>
  <c r="N2154" i="1"/>
  <c r="M2154" i="1"/>
  <c r="O2153" i="1" a="1"/>
  <c r="O2153" i="1" s="1"/>
  <c r="N2153" i="1"/>
  <c r="M2153" i="1"/>
  <c r="O2152" i="1"/>
  <c r="O2152" i="1" a="1"/>
  <c r="N2152" i="1"/>
  <c r="M2152" i="1"/>
  <c r="O2151" i="1"/>
  <c r="O2151" i="1" a="1"/>
  <c r="N2151" i="1"/>
  <c r="M2151" i="1"/>
  <c r="O2150" i="1"/>
  <c r="O2150" i="1" a="1"/>
  <c r="N2150" i="1"/>
  <c r="M2150" i="1"/>
  <c r="O2149" i="1" a="1"/>
  <c r="O2149" i="1" s="1"/>
  <c r="N2149" i="1"/>
  <c r="M2149" i="1"/>
  <c r="O2148" i="1"/>
  <c r="O2148" i="1" a="1"/>
  <c r="N2148" i="1"/>
  <c r="M2148" i="1"/>
  <c r="O2147" i="1"/>
  <c r="O2147" i="1" a="1"/>
  <c r="N2147" i="1"/>
  <c r="M2147" i="1"/>
  <c r="O2146" i="1" a="1"/>
  <c r="O2146" i="1" s="1"/>
  <c r="N2146" i="1"/>
  <c r="M2146" i="1"/>
  <c r="O2145" i="1" a="1"/>
  <c r="O2145" i="1" s="1"/>
  <c r="N2145" i="1"/>
  <c r="M2145" i="1"/>
  <c r="O2144" i="1"/>
  <c r="O2144" i="1" a="1"/>
  <c r="N2144" i="1"/>
  <c r="M2144" i="1"/>
  <c r="O2143" i="1" a="1"/>
  <c r="O2143" i="1" s="1"/>
  <c r="N2143" i="1"/>
  <c r="M2143" i="1"/>
  <c r="O2142" i="1" a="1"/>
  <c r="O2142" i="1" s="1"/>
  <c r="N2142" i="1"/>
  <c r="M2142" i="1"/>
  <c r="O2141" i="1" a="1"/>
  <c r="O2141" i="1" s="1"/>
  <c r="N2141" i="1"/>
  <c r="M2141" i="1"/>
  <c r="O2140" i="1" a="1"/>
  <c r="O2140" i="1" s="1"/>
  <c r="N2140" i="1"/>
  <c r="M2140" i="1"/>
  <c r="O2139" i="1"/>
  <c r="O2139" i="1" a="1"/>
  <c r="N2139" i="1"/>
  <c r="M2139" i="1"/>
  <c r="O2138" i="1"/>
  <c r="O2138" i="1" a="1"/>
  <c r="N2138" i="1"/>
  <c r="M2138" i="1"/>
  <c r="O2137" i="1" a="1"/>
  <c r="O2137" i="1" s="1"/>
  <c r="N2137" i="1"/>
  <c r="M2137" i="1"/>
  <c r="O2136" i="1"/>
  <c r="O2136" i="1" a="1"/>
  <c r="N2136" i="1"/>
  <c r="M2136" i="1"/>
  <c r="O2135" i="1" a="1"/>
  <c r="O2135" i="1" s="1"/>
  <c r="N2135" i="1"/>
  <c r="M2135" i="1"/>
  <c r="O2134" i="1" a="1"/>
  <c r="O2134" i="1" s="1"/>
  <c r="N2134" i="1"/>
  <c r="M2134" i="1"/>
  <c r="O2133" i="1"/>
  <c r="O2133" i="1" a="1"/>
  <c r="N2133" i="1"/>
  <c r="M2133" i="1"/>
  <c r="O2132" i="1" a="1"/>
  <c r="O2132" i="1" s="1"/>
  <c r="N2132" i="1"/>
  <c r="M2132" i="1"/>
  <c r="O2131" i="1" a="1"/>
  <c r="O2131" i="1" s="1"/>
  <c r="N2131" i="1"/>
  <c r="M2131" i="1"/>
  <c r="O2130" i="1"/>
  <c r="O2130" i="1" a="1"/>
  <c r="N2130" i="1"/>
  <c r="M2130" i="1"/>
  <c r="O2129" i="1" a="1"/>
  <c r="O2129" i="1" s="1"/>
  <c r="N2129" i="1"/>
  <c r="M2129" i="1"/>
  <c r="O2128" i="1" a="1"/>
  <c r="O2128" i="1" s="1"/>
  <c r="N2128" i="1"/>
  <c r="M2128" i="1"/>
  <c r="O2127" i="1" a="1"/>
  <c r="O2127" i="1" s="1"/>
  <c r="N2127" i="1"/>
  <c r="M2127" i="1"/>
  <c r="O2126" i="1" a="1"/>
  <c r="O2126" i="1" s="1"/>
  <c r="N2126" i="1"/>
  <c r="M2126" i="1"/>
  <c r="O2125" i="1"/>
  <c r="O2125" i="1" a="1"/>
  <c r="N2125" i="1"/>
  <c r="M2125" i="1"/>
  <c r="O2124" i="1"/>
  <c r="O2124" i="1" a="1"/>
  <c r="N2124" i="1"/>
  <c r="M2124" i="1"/>
  <c r="O2123" i="1"/>
  <c r="O2123" i="1" a="1"/>
  <c r="N2123" i="1"/>
  <c r="M2123" i="1"/>
  <c r="O2122" i="1" a="1"/>
  <c r="O2122" i="1" s="1"/>
  <c r="N2122" i="1"/>
  <c r="M2122" i="1"/>
  <c r="O2121" i="1" a="1"/>
  <c r="O2121" i="1" s="1"/>
  <c r="N2121" i="1"/>
  <c r="M2121" i="1"/>
  <c r="O2120" i="1"/>
  <c r="O2120" i="1" a="1"/>
  <c r="N2120" i="1"/>
  <c r="M2120" i="1"/>
  <c r="O2119" i="1"/>
  <c r="O2119" i="1" a="1"/>
  <c r="N2119" i="1"/>
  <c r="M2119" i="1"/>
  <c r="O2118" i="1"/>
  <c r="O2118" i="1" a="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c r="O2112" i="1" a="1"/>
  <c r="N2112" i="1"/>
  <c r="M2112" i="1"/>
  <c r="O2111" i="1" a="1"/>
  <c r="O2111" i="1" s="1"/>
  <c r="N2111" i="1"/>
  <c r="M2111" i="1"/>
  <c r="O2110" i="1"/>
  <c r="O2110" i="1" a="1"/>
  <c r="N2110" i="1"/>
  <c r="M2110" i="1"/>
  <c r="O2109" i="1"/>
  <c r="O2109" i="1" a="1"/>
  <c r="N2109" i="1"/>
  <c r="M2109" i="1"/>
  <c r="O2108" i="1" a="1"/>
  <c r="O2108" i="1" s="1"/>
  <c r="N2108" i="1"/>
  <c r="M2108" i="1"/>
  <c r="O2107" i="1" a="1"/>
  <c r="O2107" i="1" s="1"/>
  <c r="N2107" i="1"/>
  <c r="M2107" i="1"/>
  <c r="O2106" i="1" a="1"/>
  <c r="O2106" i="1" s="1"/>
  <c r="N2106" i="1"/>
  <c r="M2106" i="1"/>
  <c r="O2105" i="1" a="1"/>
  <c r="O2105" i="1" s="1"/>
  <c r="N2105" i="1"/>
  <c r="M2105" i="1"/>
  <c r="O2104" i="1"/>
  <c r="O2104" i="1" a="1"/>
  <c r="N2104" i="1"/>
  <c r="M2104" i="1"/>
  <c r="O2103" i="1" a="1"/>
  <c r="O2103" i="1" s="1"/>
  <c r="N2103" i="1"/>
  <c r="M2103" i="1"/>
  <c r="O2102" i="1" a="1"/>
  <c r="O2102" i="1" s="1"/>
  <c r="N2102" i="1"/>
  <c r="M2102" i="1"/>
  <c r="O2101" i="1"/>
  <c r="O2101" i="1" a="1"/>
  <c r="N2101" i="1"/>
  <c r="M2101" i="1"/>
  <c r="O2100" i="1" a="1"/>
  <c r="O2100" i="1" s="1"/>
  <c r="N2100" i="1"/>
  <c r="M2100" i="1"/>
  <c r="O2099" i="1"/>
  <c r="O2099" i="1" a="1"/>
  <c r="N2099" i="1"/>
  <c r="M2099" i="1"/>
  <c r="O2098" i="1"/>
  <c r="O2098" i="1" a="1"/>
  <c r="N2098" i="1"/>
  <c r="M2098" i="1"/>
  <c r="O2097" i="1" a="1"/>
  <c r="O2097" i="1" s="1"/>
  <c r="N2097" i="1"/>
  <c r="M2097" i="1"/>
  <c r="O2096" i="1"/>
  <c r="O2096" i="1" a="1"/>
  <c r="N2096" i="1"/>
  <c r="M2096" i="1"/>
  <c r="O2095" i="1"/>
  <c r="O2095" i="1" a="1"/>
  <c r="N2095" i="1"/>
  <c r="M2095" i="1"/>
  <c r="O2094" i="1" a="1"/>
  <c r="O2094" i="1" s="1"/>
  <c r="N2094" i="1"/>
  <c r="M2094" i="1"/>
  <c r="O2093" i="1" a="1"/>
  <c r="O2093" i="1" s="1"/>
  <c r="N2093" i="1"/>
  <c r="M2093" i="1"/>
  <c r="O2092" i="1"/>
  <c r="O2092" i="1" a="1"/>
  <c r="N2092" i="1"/>
  <c r="M2092" i="1"/>
  <c r="O2091" i="1"/>
  <c r="O2091" i="1" a="1"/>
  <c r="N2091" i="1"/>
  <c r="M2091" i="1"/>
  <c r="O2090" i="1"/>
  <c r="O2090" i="1" a="1"/>
  <c r="N2090" i="1"/>
  <c r="M2090" i="1"/>
  <c r="O2089" i="1"/>
  <c r="O2089" i="1" a="1"/>
  <c r="N2089" i="1"/>
  <c r="M2089" i="1"/>
  <c r="O2088" i="1" a="1"/>
  <c r="O2088" i="1" s="1"/>
  <c r="N2088" i="1"/>
  <c r="M2088" i="1"/>
  <c r="O2087" i="1" a="1"/>
  <c r="O2087" i="1" s="1"/>
  <c r="N2087" i="1"/>
  <c r="M2087" i="1"/>
  <c r="O2086" i="1" a="1"/>
  <c r="O2086" i="1" s="1"/>
  <c r="N2086" i="1"/>
  <c r="M2086" i="1"/>
  <c r="O2085" i="1"/>
  <c r="O2085" i="1" a="1"/>
  <c r="N2085" i="1"/>
  <c r="M2085" i="1"/>
  <c r="O2084" i="1" a="1"/>
  <c r="O2084" i="1" s="1"/>
  <c r="N2084" i="1"/>
  <c r="M2084" i="1"/>
  <c r="O2083" i="1"/>
  <c r="O2083" i="1" a="1"/>
  <c r="N2083" i="1"/>
  <c r="M2083" i="1"/>
  <c r="O2082" i="1"/>
  <c r="O2082" i="1" a="1"/>
  <c r="N2082" i="1"/>
  <c r="M2082" i="1"/>
  <c r="O2081" i="1"/>
  <c r="O2081" i="1" a="1"/>
  <c r="N2081" i="1"/>
  <c r="M2081" i="1"/>
  <c r="O2080" i="1"/>
  <c r="O2080" i="1" a="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c r="O2071" i="1" a="1"/>
  <c r="N2071" i="1"/>
  <c r="M2071" i="1"/>
  <c r="O2070" i="1"/>
  <c r="O2070" i="1" a="1"/>
  <c r="N2070" i="1"/>
  <c r="M2070" i="1"/>
  <c r="O2069" i="1"/>
  <c r="O2069" i="1" a="1"/>
  <c r="N2069" i="1"/>
  <c r="M2069" i="1"/>
  <c r="O2068" i="1"/>
  <c r="O2068" i="1" a="1"/>
  <c r="N2068" i="1"/>
  <c r="M2068" i="1"/>
  <c r="O2067" i="1"/>
  <c r="O2067" i="1" a="1"/>
  <c r="N2067" i="1"/>
  <c r="M2067" i="1"/>
  <c r="O2066" i="1"/>
  <c r="O2066" i="1" a="1"/>
  <c r="N2066" i="1"/>
  <c r="M2066" i="1"/>
  <c r="O2065" i="1" a="1"/>
  <c r="O2065" i="1" s="1"/>
  <c r="N2065" i="1"/>
  <c r="M2065" i="1"/>
  <c r="O2064" i="1" a="1"/>
  <c r="O2064" i="1" s="1"/>
  <c r="N2064" i="1"/>
  <c r="M2064" i="1"/>
  <c r="O2063" i="1" a="1"/>
  <c r="O2063" i="1" s="1"/>
  <c r="N2063" i="1"/>
  <c r="M2063" i="1"/>
  <c r="O2062" i="1" a="1"/>
  <c r="O2062" i="1" s="1"/>
  <c r="N2062" i="1"/>
  <c r="M2062" i="1"/>
  <c r="O2061" i="1"/>
  <c r="O2061" i="1" a="1"/>
  <c r="N2061" i="1"/>
  <c r="M2061" i="1"/>
  <c r="O2060" i="1"/>
  <c r="O2060" i="1" a="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c r="O2053" i="1" a="1"/>
  <c r="N2053" i="1"/>
  <c r="M2053" i="1"/>
  <c r="O2052" i="1"/>
  <c r="O2052" i="1" a="1"/>
  <c r="N2052" i="1"/>
  <c r="M2052" i="1"/>
  <c r="O2051" i="1" a="1"/>
  <c r="O2051" i="1" s="1"/>
  <c r="N2051" i="1"/>
  <c r="M2051" i="1"/>
  <c r="O2050" i="1"/>
  <c r="O2050" i="1" a="1"/>
  <c r="N2050" i="1"/>
  <c r="M2050" i="1"/>
  <c r="O2049" i="1" a="1"/>
  <c r="O2049" i="1" s="1"/>
  <c r="N2049" i="1"/>
  <c r="M2049" i="1"/>
  <c r="O2048" i="1" a="1"/>
  <c r="O2048" i="1" s="1"/>
  <c r="N2048" i="1"/>
  <c r="M2048" i="1"/>
  <c r="O2047" i="1"/>
  <c r="O2047" i="1" a="1"/>
  <c r="N2047" i="1"/>
  <c r="M2047" i="1"/>
  <c r="O2046" i="1" a="1"/>
  <c r="O2046" i="1" s="1"/>
  <c r="N2046" i="1"/>
  <c r="M2046" i="1"/>
  <c r="O2045" i="1" a="1"/>
  <c r="O2045" i="1" s="1"/>
  <c r="N2045" i="1"/>
  <c r="M2045" i="1"/>
  <c r="O2044" i="1" a="1"/>
  <c r="O2044" i="1" s="1"/>
  <c r="N2044" i="1"/>
  <c r="M2044" i="1"/>
  <c r="O2043" i="1"/>
  <c r="O2043" i="1" a="1"/>
  <c r="N2043" i="1"/>
  <c r="M2043" i="1"/>
  <c r="O2042" i="1"/>
  <c r="O2042" i="1" a="1"/>
  <c r="N2042" i="1"/>
  <c r="M2042" i="1"/>
  <c r="O2041" i="1"/>
  <c r="O2041" i="1" a="1"/>
  <c r="N2041" i="1"/>
  <c r="M2041" i="1"/>
  <c r="O2040" i="1" a="1"/>
  <c r="O2040" i="1" s="1"/>
  <c r="N2040" i="1"/>
  <c r="M2040" i="1"/>
  <c r="O2039" i="1" a="1"/>
  <c r="O2039" i="1" s="1"/>
  <c r="N2039" i="1"/>
  <c r="M2039" i="1"/>
  <c r="O2038" i="1"/>
  <c r="O2038" i="1" a="1"/>
  <c r="N2038" i="1"/>
  <c r="M2038" i="1"/>
  <c r="O2037" i="1" a="1"/>
  <c r="O2037" i="1" s="1"/>
  <c r="N2037" i="1"/>
  <c r="M2037" i="1"/>
  <c r="O2036" i="1"/>
  <c r="O2036" i="1" a="1"/>
  <c r="N2036" i="1"/>
  <c r="M2036" i="1"/>
  <c r="O2035" i="1" a="1"/>
  <c r="O2035" i="1" s="1"/>
  <c r="N2035" i="1"/>
  <c r="M2035" i="1"/>
  <c r="O2034" i="1" a="1"/>
  <c r="O2034" i="1" s="1"/>
  <c r="N2034" i="1"/>
  <c r="M2034" i="1"/>
  <c r="O2033" i="1" a="1"/>
  <c r="O2033" i="1" s="1"/>
  <c r="N2033" i="1"/>
  <c r="M2033" i="1"/>
  <c r="O2032" i="1" a="1"/>
  <c r="O2032" i="1" s="1"/>
  <c r="N2032" i="1"/>
  <c r="M2032" i="1"/>
  <c r="O2031" i="1"/>
  <c r="O2031" i="1" a="1"/>
  <c r="N2031" i="1"/>
  <c r="M2031" i="1"/>
  <c r="O2030" i="1" a="1"/>
  <c r="O2030" i="1" s="1"/>
  <c r="N2030" i="1"/>
  <c r="M2030" i="1"/>
  <c r="O2029" i="1"/>
  <c r="O2029" i="1" a="1"/>
  <c r="N2029" i="1"/>
  <c r="M2029" i="1"/>
  <c r="O2028" i="1" a="1"/>
  <c r="O2028" i="1" s="1"/>
  <c r="N2028" i="1"/>
  <c r="M2028" i="1"/>
  <c r="O2027" i="1"/>
  <c r="O2027" i="1" a="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c r="O2021" i="1" a="1"/>
  <c r="N2021" i="1"/>
  <c r="M2021" i="1"/>
  <c r="O2020" i="1" a="1"/>
  <c r="O2020" i="1" s="1"/>
  <c r="N2020" i="1"/>
  <c r="M2020" i="1"/>
  <c r="O2019" i="1" a="1"/>
  <c r="O2019" i="1" s="1"/>
  <c r="N2019" i="1"/>
  <c r="M2019" i="1"/>
  <c r="O2018" i="1"/>
  <c r="O2018" i="1" a="1"/>
  <c r="N2018" i="1"/>
  <c r="M2018" i="1"/>
  <c r="O2017" i="1"/>
  <c r="O2017" i="1" a="1"/>
  <c r="N2017" i="1"/>
  <c r="M2017" i="1"/>
  <c r="O2016" i="1" a="1"/>
  <c r="O2016" i="1" s="1"/>
  <c r="N2016" i="1"/>
  <c r="M2016" i="1"/>
  <c r="O2015" i="1"/>
  <c r="O2015" i="1" a="1"/>
  <c r="N2015" i="1"/>
  <c r="M2015" i="1"/>
  <c r="O2014" i="1"/>
  <c r="O2014" i="1" a="1"/>
  <c r="N2014" i="1"/>
  <c r="M2014" i="1"/>
  <c r="O2013" i="1"/>
  <c r="O2013" i="1" a="1"/>
  <c r="N2013" i="1"/>
  <c r="M2013" i="1"/>
  <c r="O2012" i="1"/>
  <c r="O2012" i="1" a="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c r="O2005" i="1" a="1"/>
  <c r="N2005" i="1"/>
  <c r="M2005" i="1"/>
  <c r="O2004" i="1" a="1"/>
  <c r="O2004" i="1" s="1"/>
  <c r="N2004" i="1"/>
  <c r="M2004" i="1"/>
  <c r="O2003" i="1" a="1"/>
  <c r="O2003" i="1" s="1"/>
  <c r="N2003" i="1"/>
  <c r="M2003" i="1"/>
  <c r="O2002" i="1" a="1"/>
  <c r="O2002" i="1" s="1"/>
  <c r="N2002" i="1"/>
  <c r="M2002" i="1"/>
  <c r="O2001" i="1"/>
  <c r="O2001" i="1" a="1"/>
  <c r="N2001" i="1"/>
  <c r="M2001" i="1"/>
  <c r="O2000" i="1"/>
  <c r="O2000" i="1" a="1"/>
  <c r="N2000" i="1"/>
  <c r="M2000" i="1"/>
  <c r="O1999" i="1" a="1"/>
  <c r="O1999" i="1" s="1"/>
  <c r="N1999" i="1"/>
  <c r="M1999" i="1"/>
  <c r="O1998" i="1"/>
  <c r="O1998" i="1" a="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c r="O1992" i="1" a="1"/>
  <c r="N1992" i="1"/>
  <c r="M1992" i="1"/>
  <c r="O1991" i="1"/>
  <c r="O1991" i="1" a="1"/>
  <c r="N1991" i="1"/>
  <c r="M1991" i="1"/>
  <c r="O1990" i="1" a="1"/>
  <c r="O1990" i="1" s="1"/>
  <c r="N1990" i="1"/>
  <c r="M1990" i="1"/>
  <c r="O1989" i="1" a="1"/>
  <c r="O1989" i="1" s="1"/>
  <c r="N1989" i="1"/>
  <c r="M1989" i="1"/>
  <c r="O1988" i="1" a="1"/>
  <c r="O1988" i="1" s="1"/>
  <c r="N1988" i="1"/>
  <c r="M1988" i="1"/>
  <c r="O1987" i="1"/>
  <c r="O1987" i="1" a="1"/>
  <c r="N1987" i="1"/>
  <c r="M1987" i="1"/>
  <c r="O1986" i="1"/>
  <c r="O1986" i="1" a="1"/>
  <c r="N1986" i="1"/>
  <c r="M1986" i="1"/>
  <c r="O1985" i="1"/>
  <c r="O1985" i="1" a="1"/>
  <c r="N1985" i="1"/>
  <c r="M1985" i="1"/>
  <c r="O1984" i="1" a="1"/>
  <c r="O1984" i="1" s="1"/>
  <c r="N1984" i="1"/>
  <c r="M1984" i="1"/>
  <c r="O1983" i="1"/>
  <c r="O1983" i="1" a="1"/>
  <c r="N1983" i="1"/>
  <c r="M1983" i="1"/>
  <c r="O1982" i="1"/>
  <c r="O1982" i="1" a="1"/>
  <c r="N1982" i="1"/>
  <c r="M1982" i="1"/>
  <c r="O1981" i="1" a="1"/>
  <c r="O1981" i="1" s="1"/>
  <c r="N1981" i="1"/>
  <c r="M1981" i="1"/>
  <c r="O1980" i="1"/>
  <c r="O1980" i="1" a="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c r="O1973" i="1" a="1"/>
  <c r="N1973" i="1"/>
  <c r="M1973" i="1"/>
  <c r="O1972" i="1"/>
  <c r="O1972" i="1" a="1"/>
  <c r="N1972" i="1"/>
  <c r="M1972" i="1"/>
  <c r="O1971" i="1"/>
  <c r="O1971" i="1" a="1"/>
  <c r="N1971" i="1"/>
  <c r="M1971" i="1"/>
  <c r="O1970" i="1" a="1"/>
  <c r="O1970" i="1" s="1"/>
  <c r="N1970" i="1"/>
  <c r="M1970" i="1"/>
  <c r="O1969" i="1"/>
  <c r="O1969" i="1" a="1"/>
  <c r="N1969" i="1"/>
  <c r="M1969" i="1"/>
  <c r="O1968" i="1" a="1"/>
  <c r="O1968" i="1" s="1"/>
  <c r="N1968" i="1"/>
  <c r="M1968" i="1"/>
  <c r="O1967" i="1" a="1"/>
  <c r="O1967" i="1" s="1"/>
  <c r="N1967" i="1"/>
  <c r="M1967" i="1"/>
  <c r="O1966" i="1" a="1"/>
  <c r="O1966" i="1" s="1"/>
  <c r="N1966" i="1"/>
  <c r="M1966" i="1"/>
  <c r="O1965" i="1" a="1"/>
  <c r="O1965" i="1" s="1"/>
  <c r="N1965" i="1"/>
  <c r="M1965" i="1"/>
  <c r="O1964" i="1"/>
  <c r="O1964" i="1" a="1"/>
  <c r="N1964" i="1"/>
  <c r="M1964" i="1"/>
  <c r="O1963" i="1"/>
  <c r="O1963" i="1" a="1"/>
  <c r="N1963" i="1"/>
  <c r="M1963" i="1"/>
  <c r="O1962" i="1"/>
  <c r="O1962" i="1" a="1"/>
  <c r="N1962" i="1"/>
  <c r="M1962" i="1"/>
  <c r="O1961" i="1" a="1"/>
  <c r="O1961" i="1" s="1"/>
  <c r="N1961" i="1"/>
  <c r="M1961" i="1"/>
  <c r="O1960" i="1" a="1"/>
  <c r="O1960" i="1" s="1"/>
  <c r="N1960" i="1"/>
  <c r="M1960" i="1"/>
  <c r="O1959" i="1" a="1"/>
  <c r="O1959" i="1" s="1"/>
  <c r="N1959" i="1"/>
  <c r="M1959" i="1"/>
  <c r="O1958" i="1" a="1"/>
  <c r="O1958" i="1" s="1"/>
  <c r="N1958" i="1"/>
  <c r="M1958" i="1"/>
  <c r="O1957" i="1"/>
  <c r="O1957" i="1" a="1"/>
  <c r="N1957" i="1"/>
  <c r="M1957" i="1"/>
  <c r="O1956" i="1"/>
  <c r="O1956" i="1" a="1"/>
  <c r="N1956" i="1"/>
  <c r="M1956" i="1"/>
  <c r="O1955" i="1" a="1"/>
  <c r="O1955" i="1" s="1"/>
  <c r="N1955" i="1"/>
  <c r="M1955" i="1"/>
  <c r="O1954" i="1"/>
  <c r="O1954" i="1" a="1"/>
  <c r="N1954" i="1"/>
  <c r="M1954" i="1"/>
  <c r="O1953" i="1" a="1"/>
  <c r="O1953" i="1" s="1"/>
  <c r="N1953" i="1"/>
  <c r="M1953" i="1"/>
  <c r="O1952" i="1"/>
  <c r="O1952" i="1" a="1"/>
  <c r="N1952" i="1"/>
  <c r="M1952" i="1"/>
  <c r="O1951" i="1"/>
  <c r="O1951" i="1" a="1"/>
  <c r="N1951" i="1"/>
  <c r="M1951" i="1"/>
  <c r="O1950" i="1" a="1"/>
  <c r="O1950" i="1" s="1"/>
  <c r="N1950" i="1"/>
  <c r="M1950" i="1"/>
  <c r="O1949" i="1" a="1"/>
  <c r="O1949" i="1" s="1"/>
  <c r="N1949" i="1"/>
  <c r="M1949" i="1"/>
  <c r="O1948" i="1"/>
  <c r="O1948" i="1" a="1"/>
  <c r="N1948" i="1"/>
  <c r="M1948" i="1"/>
  <c r="O1947" i="1"/>
  <c r="O1947" i="1" a="1"/>
  <c r="N1947" i="1"/>
  <c r="M1947" i="1"/>
  <c r="O1946" i="1" a="1"/>
  <c r="O1946" i="1" s="1"/>
  <c r="N1946" i="1"/>
  <c r="M1946" i="1"/>
  <c r="O1945" i="1"/>
  <c r="O1945" i="1" a="1"/>
  <c r="N1945" i="1"/>
  <c r="M1945" i="1"/>
  <c r="O1944" i="1"/>
  <c r="O1944" i="1" a="1"/>
  <c r="N1944" i="1"/>
  <c r="M1944" i="1"/>
  <c r="O1943" i="1"/>
  <c r="O1943" i="1" a="1"/>
  <c r="N1943" i="1"/>
  <c r="M1943" i="1"/>
  <c r="O1942" i="1" a="1"/>
  <c r="O1942" i="1" s="1"/>
  <c r="N1942" i="1"/>
  <c r="M1942" i="1"/>
  <c r="O1941" i="1" a="1"/>
  <c r="O1941" i="1" s="1"/>
  <c r="N1941" i="1"/>
  <c r="M1941" i="1"/>
  <c r="O1940" i="1" a="1"/>
  <c r="O1940" i="1" s="1"/>
  <c r="N1940" i="1"/>
  <c r="M1940" i="1"/>
  <c r="O1939" i="1" a="1"/>
  <c r="O1939" i="1" s="1"/>
  <c r="N1939" i="1"/>
  <c r="M1939" i="1"/>
  <c r="O1938" i="1"/>
  <c r="O1938" i="1" a="1"/>
  <c r="N1938" i="1"/>
  <c r="M1938" i="1"/>
  <c r="O1937" i="1"/>
  <c r="O1937" i="1" a="1"/>
  <c r="N1937" i="1"/>
  <c r="M1937" i="1"/>
  <c r="O1936" i="1" a="1"/>
  <c r="O1936" i="1" s="1"/>
  <c r="N1936" i="1"/>
  <c r="M1936" i="1"/>
  <c r="O1935" i="1" a="1"/>
  <c r="O1935" i="1" s="1"/>
  <c r="N1935" i="1"/>
  <c r="M1935" i="1"/>
  <c r="O1934" i="1"/>
  <c r="O1934" i="1" a="1"/>
  <c r="N1934" i="1"/>
  <c r="M1934" i="1"/>
  <c r="O1933" i="1" a="1"/>
  <c r="O1933" i="1" s="1"/>
  <c r="N1933" i="1"/>
  <c r="M1933" i="1"/>
  <c r="O1932" i="1" a="1"/>
  <c r="O1932" i="1" s="1"/>
  <c r="N1932" i="1"/>
  <c r="M1932" i="1"/>
  <c r="O1931" i="1" a="1"/>
  <c r="O1931" i="1" s="1"/>
  <c r="N1931" i="1"/>
  <c r="M1931" i="1"/>
  <c r="O1930" i="1"/>
  <c r="O1930" i="1" a="1"/>
  <c r="N1930" i="1"/>
  <c r="M1930" i="1"/>
  <c r="O1929" i="1"/>
  <c r="O1929" i="1" a="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c r="O1922" i="1" a="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c r="O1914" i="1" a="1"/>
  <c r="N1914" i="1"/>
  <c r="M1914" i="1"/>
  <c r="O1913" i="1" a="1"/>
  <c r="O1913" i="1" s="1"/>
  <c r="N1913" i="1"/>
  <c r="M1913" i="1"/>
  <c r="O1912" i="1" a="1"/>
  <c r="O1912" i="1" s="1"/>
  <c r="N1912" i="1"/>
  <c r="M1912" i="1"/>
  <c r="O1911" i="1" a="1"/>
  <c r="O1911" i="1" s="1"/>
  <c r="N1911" i="1"/>
  <c r="M1911" i="1"/>
  <c r="O1910" i="1" a="1"/>
  <c r="O1910" i="1" s="1"/>
  <c r="N1910" i="1"/>
  <c r="M1910" i="1"/>
  <c r="O1909" i="1"/>
  <c r="O1909" i="1" a="1"/>
  <c r="N1909" i="1"/>
  <c r="M1909" i="1"/>
  <c r="O1908" i="1"/>
  <c r="O1908" i="1" a="1"/>
  <c r="N1908" i="1"/>
  <c r="M1908" i="1"/>
  <c r="O1907" i="1" a="1"/>
  <c r="O1907" i="1" s="1"/>
  <c r="N1907" i="1"/>
  <c r="M1907" i="1"/>
  <c r="O1906" i="1" a="1"/>
  <c r="O1906" i="1" s="1"/>
  <c r="N1906" i="1"/>
  <c r="M1906" i="1"/>
  <c r="O1905" i="1"/>
  <c r="O1905" i="1" a="1"/>
  <c r="N1905" i="1"/>
  <c r="M1905" i="1"/>
  <c r="O1904" i="1" a="1"/>
  <c r="O1904" i="1" s="1"/>
  <c r="N1904" i="1"/>
  <c r="M1904" i="1"/>
  <c r="O1903" i="1"/>
  <c r="O1903" i="1" a="1"/>
  <c r="N1903" i="1"/>
  <c r="M1903" i="1"/>
  <c r="O1902" i="1"/>
  <c r="O1902" i="1" a="1"/>
  <c r="N1902" i="1"/>
  <c r="M1902" i="1"/>
  <c r="O1901" i="1" a="1"/>
  <c r="O1901" i="1" s="1"/>
  <c r="N1901" i="1"/>
  <c r="M1901" i="1"/>
  <c r="O1900" i="1" a="1"/>
  <c r="O1900" i="1" s="1"/>
  <c r="N1900" i="1"/>
  <c r="M1900" i="1"/>
  <c r="O1899" i="1"/>
  <c r="O1899" i="1" a="1"/>
  <c r="N1899" i="1"/>
  <c r="M1899" i="1"/>
  <c r="O1898" i="1" a="1"/>
  <c r="O1898" i="1" s="1"/>
  <c r="N1898" i="1"/>
  <c r="M1898" i="1"/>
  <c r="O1897" i="1" a="1"/>
  <c r="O1897" i="1" s="1"/>
  <c r="N1897" i="1"/>
  <c r="M1897" i="1"/>
  <c r="O1896" i="1" a="1"/>
  <c r="O1896" i="1" s="1"/>
  <c r="N1896" i="1"/>
  <c r="M1896" i="1"/>
  <c r="O1895" i="1" a="1"/>
  <c r="O1895" i="1" s="1"/>
  <c r="N1895" i="1"/>
  <c r="M1895" i="1"/>
  <c r="O1894" i="1"/>
  <c r="O1894" i="1" a="1"/>
  <c r="N1894" i="1"/>
  <c r="M1894" i="1"/>
  <c r="O1893" i="1"/>
  <c r="O1893" i="1" a="1"/>
  <c r="N1893" i="1"/>
  <c r="M1893" i="1"/>
  <c r="O1892" i="1" a="1"/>
  <c r="O1892" i="1" s="1"/>
  <c r="N1892" i="1"/>
  <c r="M1892" i="1"/>
  <c r="O1891" i="1" a="1"/>
  <c r="O1891" i="1" s="1"/>
  <c r="N1891" i="1"/>
  <c r="M1891" i="1"/>
  <c r="O1890" i="1" a="1"/>
  <c r="O1890" i="1" s="1"/>
  <c r="N1890" i="1"/>
  <c r="M1890" i="1"/>
  <c r="O1889" i="1"/>
  <c r="O1889" i="1" a="1"/>
  <c r="N1889" i="1"/>
  <c r="M1889" i="1"/>
  <c r="O1888" i="1" a="1"/>
  <c r="O1888" i="1" s="1"/>
  <c r="N1888" i="1"/>
  <c r="M1888" i="1"/>
  <c r="O1887" i="1" a="1"/>
  <c r="O1887" i="1" s="1"/>
  <c r="N1887" i="1"/>
  <c r="M1887" i="1"/>
  <c r="O1886" i="1"/>
  <c r="O1886" i="1" a="1"/>
  <c r="N1886" i="1"/>
  <c r="M1886" i="1"/>
  <c r="O1885" i="1"/>
  <c r="O1885" i="1" a="1"/>
  <c r="N1885" i="1"/>
  <c r="M1885" i="1"/>
  <c r="O1884" i="1"/>
  <c r="O1884" i="1" a="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c r="O1877" i="1" a="1"/>
  <c r="N1877" i="1"/>
  <c r="M1877" i="1"/>
  <c r="O1876" i="1" a="1"/>
  <c r="O1876" i="1" s="1"/>
  <c r="N1876" i="1"/>
  <c r="M1876" i="1"/>
  <c r="O1875" i="1" a="1"/>
  <c r="O1875" i="1" s="1"/>
  <c r="N1875" i="1"/>
  <c r="M1875" i="1"/>
  <c r="O1874" i="1"/>
  <c r="O1874" i="1" a="1"/>
  <c r="N1874" i="1"/>
  <c r="M1874" i="1"/>
  <c r="O1873" i="1"/>
  <c r="O1873" i="1" a="1"/>
  <c r="N1873" i="1"/>
  <c r="M1873" i="1"/>
  <c r="O1872" i="1" a="1"/>
  <c r="O1872" i="1" s="1"/>
  <c r="N1872" i="1"/>
  <c r="M1872" i="1"/>
  <c r="O1871" i="1" a="1"/>
  <c r="O1871" i="1" s="1"/>
  <c r="N1871" i="1"/>
  <c r="M1871" i="1"/>
  <c r="O1870" i="1" a="1"/>
  <c r="O1870" i="1" s="1"/>
  <c r="N1870" i="1"/>
  <c r="M1870" i="1"/>
  <c r="O1869" i="1" a="1"/>
  <c r="O1869" i="1" s="1"/>
  <c r="N1869" i="1"/>
  <c r="M1869" i="1"/>
  <c r="O1868" i="1"/>
  <c r="O1868" i="1" a="1"/>
  <c r="N1868" i="1"/>
  <c r="M1868" i="1"/>
  <c r="O1867" i="1" a="1"/>
  <c r="O1867" i="1" s="1"/>
  <c r="N1867" i="1"/>
  <c r="M1867" i="1"/>
  <c r="O1866" i="1" a="1"/>
  <c r="O1866" i="1" s="1"/>
  <c r="N1866" i="1"/>
  <c r="M1866" i="1"/>
  <c r="O1865" i="1" a="1"/>
  <c r="O1865" i="1" s="1"/>
  <c r="N1865" i="1"/>
  <c r="M1865" i="1"/>
  <c r="O1864" i="1"/>
  <c r="O1864" i="1" a="1"/>
  <c r="N1864" i="1"/>
  <c r="M1864" i="1"/>
  <c r="O1863" i="1" a="1"/>
  <c r="O1863" i="1" s="1"/>
  <c r="N1863" i="1"/>
  <c r="M1863" i="1"/>
  <c r="O1862" i="1" a="1"/>
  <c r="O1862" i="1" s="1"/>
  <c r="N1862" i="1"/>
  <c r="M1862" i="1"/>
  <c r="O1861" i="1" a="1"/>
  <c r="O1861" i="1" s="1"/>
  <c r="N1861" i="1"/>
  <c r="M1861" i="1"/>
  <c r="O1860" i="1"/>
  <c r="O1860" i="1" a="1"/>
  <c r="N1860" i="1"/>
  <c r="M1860" i="1"/>
  <c r="O1859" i="1" a="1"/>
  <c r="O1859" i="1" s="1"/>
  <c r="N1859" i="1"/>
  <c r="M1859" i="1"/>
  <c r="O1858" i="1" a="1"/>
  <c r="O1858" i="1" s="1"/>
  <c r="N1858" i="1"/>
  <c r="M1858" i="1"/>
  <c r="O1857" i="1" a="1"/>
  <c r="O1857" i="1" s="1"/>
  <c r="N1857" i="1"/>
  <c r="M1857" i="1"/>
  <c r="O1856" i="1"/>
  <c r="O1856" i="1" a="1"/>
  <c r="N1856" i="1"/>
  <c r="M1856" i="1"/>
  <c r="O1855" i="1" a="1"/>
  <c r="O1855" i="1" s="1"/>
  <c r="N1855" i="1"/>
  <c r="M1855" i="1"/>
  <c r="O1854" i="1"/>
  <c r="O1854" i="1" a="1"/>
  <c r="N1854" i="1"/>
  <c r="M1854" i="1"/>
  <c r="O1853" i="1" a="1"/>
  <c r="O1853" i="1" s="1"/>
  <c r="N1853" i="1"/>
  <c r="M1853" i="1"/>
  <c r="O1852" i="1" a="1"/>
  <c r="O1852" i="1" s="1"/>
  <c r="N1852" i="1"/>
  <c r="M1852" i="1"/>
  <c r="O1851" i="1"/>
  <c r="O1851" i="1" a="1"/>
  <c r="N1851" i="1"/>
  <c r="M1851" i="1"/>
  <c r="O1850" i="1" a="1"/>
  <c r="O1850" i="1" s="1"/>
  <c r="N1850" i="1"/>
  <c r="M1850" i="1"/>
  <c r="O1849" i="1" a="1"/>
  <c r="O1849" i="1" s="1"/>
  <c r="N1849" i="1"/>
  <c r="M1849" i="1"/>
  <c r="O1848" i="1" a="1"/>
  <c r="O1848" i="1" s="1"/>
  <c r="N1848" i="1"/>
  <c r="M1848" i="1"/>
  <c r="O1847" i="1" a="1"/>
  <c r="O1847" i="1" s="1"/>
  <c r="N1847" i="1"/>
  <c r="M1847" i="1"/>
  <c r="O1846" i="1"/>
  <c r="O1846" i="1" a="1"/>
  <c r="N1846" i="1"/>
  <c r="M1846" i="1"/>
  <c r="O1845" i="1"/>
  <c r="O1845" i="1" a="1"/>
  <c r="N1845" i="1"/>
  <c r="M1845" i="1"/>
  <c r="O1844" i="1" a="1"/>
  <c r="O1844" i="1" s="1"/>
  <c r="N1844" i="1"/>
  <c r="M1844" i="1"/>
  <c r="O1843" i="1" a="1"/>
  <c r="O1843" i="1" s="1"/>
  <c r="N1843" i="1"/>
  <c r="M1843" i="1"/>
  <c r="O1842" i="1"/>
  <c r="O1842" i="1" a="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c r="O1836" i="1" a="1"/>
  <c r="N1836" i="1"/>
  <c r="M1836" i="1"/>
  <c r="O1835" i="1"/>
  <c r="O1835" i="1" a="1"/>
  <c r="N1835" i="1"/>
  <c r="M1835" i="1"/>
  <c r="O1834" i="1" a="1"/>
  <c r="O1834" i="1" s="1"/>
  <c r="N1834" i="1"/>
  <c r="M1834" i="1"/>
  <c r="O1833" i="1"/>
  <c r="O1833" i="1" a="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c r="O1825" i="1" a="1"/>
  <c r="N1825" i="1"/>
  <c r="M1825" i="1"/>
  <c r="O1824" i="1" a="1"/>
  <c r="O1824" i="1" s="1"/>
  <c r="N1824" i="1"/>
  <c r="M1824" i="1"/>
  <c r="O1823" i="1" a="1"/>
  <c r="O1823" i="1" s="1"/>
  <c r="N1823" i="1"/>
  <c r="M1823" i="1"/>
  <c r="O1822" i="1" a="1"/>
  <c r="O1822" i="1" s="1"/>
  <c r="N1822" i="1"/>
  <c r="M1822" i="1"/>
  <c r="O1821" i="1"/>
  <c r="O1821" i="1" a="1"/>
  <c r="N1821" i="1"/>
  <c r="M1821" i="1"/>
  <c r="O1820" i="1" a="1"/>
  <c r="O1820" i="1" s="1"/>
  <c r="N1820" i="1"/>
  <c r="M1820" i="1"/>
  <c r="O1819" i="1" a="1"/>
  <c r="O1819" i="1" s="1"/>
  <c r="N1819" i="1"/>
  <c r="M1819" i="1"/>
  <c r="O1818" i="1"/>
  <c r="O1818" i="1" a="1"/>
  <c r="N1818" i="1"/>
  <c r="M1818" i="1"/>
  <c r="O1817" i="1"/>
  <c r="O1817" i="1" a="1"/>
  <c r="N1817" i="1"/>
  <c r="M1817" i="1"/>
  <c r="O1816" i="1"/>
  <c r="O1816" i="1" a="1"/>
  <c r="N1816" i="1"/>
  <c r="M1816" i="1"/>
  <c r="O1815" i="1"/>
  <c r="O1815" i="1" a="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c r="O1809" i="1" a="1"/>
  <c r="N1809" i="1"/>
  <c r="M1809" i="1"/>
  <c r="O1808" i="1" a="1"/>
  <c r="O1808" i="1" s="1"/>
  <c r="N1808" i="1"/>
  <c r="M1808" i="1"/>
  <c r="O1807" i="1" a="1"/>
  <c r="O1807" i="1" s="1"/>
  <c r="N1807" i="1"/>
  <c r="M1807" i="1"/>
  <c r="O1806" i="1"/>
  <c r="O1806" i="1" a="1"/>
  <c r="N1806" i="1"/>
  <c r="M1806" i="1"/>
  <c r="O1805" i="1" a="1"/>
  <c r="O1805" i="1" s="1"/>
  <c r="N1805" i="1"/>
  <c r="M1805" i="1"/>
  <c r="O1804" i="1"/>
  <c r="O1804" i="1" a="1"/>
  <c r="N1804" i="1"/>
  <c r="M1804" i="1"/>
  <c r="O1803" i="1"/>
  <c r="O1803" i="1" a="1"/>
  <c r="N1803" i="1"/>
  <c r="M1803" i="1"/>
  <c r="O1802" i="1" a="1"/>
  <c r="O1802" i="1" s="1"/>
  <c r="N1802" i="1"/>
  <c r="M1802" i="1"/>
  <c r="O1801" i="1"/>
  <c r="O1801" i="1" a="1"/>
  <c r="N1801" i="1"/>
  <c r="M1801" i="1"/>
  <c r="O1800" i="1" a="1"/>
  <c r="O1800" i="1" s="1"/>
  <c r="N1800" i="1"/>
  <c r="M1800" i="1"/>
  <c r="O1799" i="1"/>
  <c r="O1799" i="1" a="1"/>
  <c r="N1799" i="1"/>
  <c r="M1799" i="1"/>
  <c r="O1798" i="1" a="1"/>
  <c r="O1798" i="1" s="1"/>
  <c r="N1798" i="1"/>
  <c r="M1798" i="1"/>
  <c r="O1797" i="1"/>
  <c r="O1797" i="1" a="1"/>
  <c r="N1797" i="1"/>
  <c r="M1797" i="1"/>
  <c r="O1796" i="1"/>
  <c r="O1796" i="1" a="1"/>
  <c r="N1796" i="1"/>
  <c r="M1796" i="1"/>
  <c r="O1795" i="1"/>
  <c r="O1795" i="1" a="1"/>
  <c r="N1795" i="1"/>
  <c r="M1795" i="1"/>
  <c r="O1794" i="1" a="1"/>
  <c r="O1794" i="1" s="1"/>
  <c r="N1794" i="1"/>
  <c r="M1794" i="1"/>
  <c r="O1793" i="1"/>
  <c r="O1793" i="1" a="1"/>
  <c r="N1793" i="1"/>
  <c r="M1793" i="1"/>
  <c r="O1792" i="1"/>
  <c r="O1792" i="1" a="1"/>
  <c r="N1792" i="1"/>
  <c r="M1792" i="1"/>
  <c r="O1791" i="1" a="1"/>
  <c r="O1791" i="1" s="1"/>
  <c r="N1791" i="1"/>
  <c r="M1791" i="1"/>
  <c r="O1790" i="1" a="1"/>
  <c r="O1790" i="1" s="1"/>
  <c r="N1790" i="1"/>
  <c r="M1790" i="1"/>
  <c r="O1789" i="1"/>
  <c r="O1789" i="1" a="1"/>
  <c r="N1789" i="1"/>
  <c r="M1789" i="1"/>
  <c r="O1788" i="1" a="1"/>
  <c r="O1788" i="1" s="1"/>
  <c r="N1788" i="1"/>
  <c r="M1788" i="1"/>
  <c r="O1787" i="1" a="1"/>
  <c r="O1787" i="1" s="1"/>
  <c r="N1787" i="1"/>
  <c r="M1787" i="1"/>
  <c r="O1786" i="1" a="1"/>
  <c r="O1786" i="1" s="1"/>
  <c r="N1786" i="1"/>
  <c r="M1786" i="1"/>
  <c r="O1785" i="1"/>
  <c r="O1785" i="1" a="1"/>
  <c r="N1785" i="1"/>
  <c r="M1785" i="1"/>
  <c r="O1784" i="1" a="1"/>
  <c r="O1784" i="1" s="1"/>
  <c r="N1784" i="1"/>
  <c r="M1784" i="1"/>
  <c r="O1783" i="1"/>
  <c r="O1783" i="1" a="1"/>
  <c r="N1783" i="1"/>
  <c r="M1783" i="1"/>
  <c r="O1782" i="1" a="1"/>
  <c r="O1782" i="1" s="1"/>
  <c r="N1782" i="1"/>
  <c r="M1782" i="1"/>
  <c r="O1781" i="1" a="1"/>
  <c r="O1781" i="1" s="1"/>
  <c r="N1781" i="1"/>
  <c r="M1781" i="1"/>
  <c r="O1780" i="1" a="1"/>
  <c r="O1780" i="1" s="1"/>
  <c r="N1780" i="1"/>
  <c r="M1780" i="1"/>
  <c r="O1779" i="1" a="1"/>
  <c r="O1779" i="1" s="1"/>
  <c r="N1779" i="1"/>
  <c r="M1779" i="1"/>
  <c r="O1778" i="1"/>
  <c r="O1778" i="1" a="1"/>
  <c r="N1778" i="1"/>
  <c r="M1778" i="1"/>
  <c r="O1777" i="1" a="1"/>
  <c r="O1777" i="1" s="1"/>
  <c r="N1777" i="1"/>
  <c r="M1777" i="1"/>
  <c r="O1776" i="1" a="1"/>
  <c r="O1776" i="1" s="1"/>
  <c r="N1776" i="1"/>
  <c r="M1776" i="1"/>
  <c r="O1775" i="1" a="1"/>
  <c r="O1775" i="1" s="1"/>
  <c r="N1775" i="1"/>
  <c r="M1775" i="1"/>
  <c r="O1774" i="1"/>
  <c r="O1774" i="1" a="1"/>
  <c r="N1774" i="1"/>
  <c r="M1774" i="1"/>
  <c r="O1773" i="1" a="1"/>
  <c r="O1773" i="1" s="1"/>
  <c r="N1773" i="1"/>
  <c r="M1773" i="1"/>
  <c r="O1772" i="1" a="1"/>
  <c r="O1772" i="1" s="1"/>
  <c r="N1772" i="1"/>
  <c r="M1772" i="1"/>
  <c r="O1771" i="1"/>
  <c r="O1771" i="1" a="1"/>
  <c r="N1771" i="1"/>
  <c r="M1771" i="1"/>
  <c r="O1770" i="1" a="1"/>
  <c r="O1770" i="1" s="1"/>
  <c r="N1770" i="1"/>
  <c r="M1770" i="1"/>
  <c r="O1769" i="1" a="1"/>
  <c r="O1769" i="1" s="1"/>
  <c r="N1769" i="1"/>
  <c r="M1769" i="1"/>
  <c r="O1768" i="1"/>
  <c r="O1768" i="1" a="1"/>
  <c r="N1768" i="1"/>
  <c r="M1768" i="1"/>
  <c r="O1767" i="1"/>
  <c r="O1767" i="1" a="1"/>
  <c r="N1767" i="1"/>
  <c r="M1767" i="1"/>
  <c r="O1766" i="1" a="1"/>
  <c r="O1766" i="1" s="1"/>
  <c r="N1766" i="1"/>
  <c r="M1766" i="1"/>
  <c r="O1765" i="1"/>
  <c r="O1765" i="1" a="1"/>
  <c r="N1765" i="1"/>
  <c r="M1765" i="1"/>
  <c r="O1764" i="1"/>
  <c r="O1764" i="1" a="1"/>
  <c r="N1764" i="1"/>
  <c r="M1764" i="1"/>
  <c r="O1763" i="1" a="1"/>
  <c r="O1763" i="1" s="1"/>
  <c r="N1763" i="1"/>
  <c r="M1763" i="1"/>
  <c r="O1762" i="1" a="1"/>
  <c r="O1762" i="1" s="1"/>
  <c r="N1762" i="1"/>
  <c r="M1762" i="1"/>
  <c r="O1761" i="1" a="1"/>
  <c r="O1761" i="1" s="1"/>
  <c r="N1761" i="1"/>
  <c r="M1761" i="1"/>
  <c r="O1760" i="1"/>
  <c r="O1760" i="1" a="1"/>
  <c r="N1760" i="1"/>
  <c r="M1760" i="1"/>
  <c r="O1759" i="1" a="1"/>
  <c r="O1759" i="1" s="1"/>
  <c r="N1759" i="1"/>
  <c r="M1759" i="1"/>
  <c r="O1758" i="1" a="1"/>
  <c r="O1758" i="1" s="1"/>
  <c r="N1758" i="1"/>
  <c r="M1758" i="1"/>
  <c r="O1757" i="1"/>
  <c r="O1757" i="1" a="1"/>
  <c r="N1757" i="1"/>
  <c r="M1757" i="1"/>
  <c r="O1756" i="1" a="1"/>
  <c r="O1756" i="1" s="1"/>
  <c r="N1756" i="1"/>
  <c r="M1756" i="1"/>
  <c r="O1755" i="1"/>
  <c r="O1755" i="1" a="1"/>
  <c r="N1755" i="1"/>
  <c r="M1755" i="1"/>
  <c r="O1754" i="1"/>
  <c r="O1754" i="1" a="1"/>
  <c r="N1754" i="1"/>
  <c r="M1754" i="1"/>
  <c r="O1753" i="1" a="1"/>
  <c r="O1753" i="1" s="1"/>
  <c r="N1753" i="1"/>
  <c r="M1753" i="1"/>
  <c r="O1752" i="1" a="1"/>
  <c r="O1752" i="1" s="1"/>
  <c r="N1752" i="1"/>
  <c r="M1752" i="1"/>
  <c r="O1751" i="1"/>
  <c r="O1751" i="1" a="1"/>
  <c r="N1751" i="1"/>
  <c r="M1751" i="1"/>
  <c r="O1750" i="1"/>
  <c r="O1750" i="1" a="1"/>
  <c r="N1750" i="1"/>
  <c r="M1750" i="1"/>
  <c r="O1749" i="1" a="1"/>
  <c r="O1749" i="1" s="1"/>
  <c r="N1749" i="1"/>
  <c r="M1749" i="1"/>
  <c r="O1748" i="1" a="1"/>
  <c r="O1748" i="1" s="1"/>
  <c r="N1748" i="1"/>
  <c r="M1748" i="1"/>
  <c r="O1747" i="1"/>
  <c r="O1747" i="1" a="1"/>
  <c r="N1747" i="1"/>
  <c r="M1747" i="1"/>
  <c r="O1746" i="1"/>
  <c r="O1746" i="1" a="1"/>
  <c r="N1746" i="1"/>
  <c r="M1746" i="1"/>
  <c r="O1745" i="1"/>
  <c r="O1745" i="1" a="1"/>
  <c r="N1745" i="1"/>
  <c r="M1745" i="1"/>
  <c r="O1744" i="1"/>
  <c r="O1744" i="1" a="1"/>
  <c r="N1744" i="1"/>
  <c r="M1744" i="1"/>
  <c r="O1743" i="1"/>
  <c r="O1743" i="1" a="1"/>
  <c r="N1743" i="1"/>
  <c r="M1743" i="1"/>
  <c r="O1742" i="1" a="1"/>
  <c r="O1742" i="1" s="1"/>
  <c r="N1742" i="1"/>
  <c r="M1742" i="1"/>
  <c r="O1741" i="1" a="1"/>
  <c r="O1741" i="1" s="1"/>
  <c r="N1741" i="1"/>
  <c r="M1741" i="1"/>
  <c r="O1740" i="1" a="1"/>
  <c r="O1740" i="1" s="1"/>
  <c r="N1740" i="1"/>
  <c r="M1740" i="1"/>
  <c r="O1739" i="1"/>
  <c r="O1739" i="1" a="1"/>
  <c r="N1739" i="1"/>
  <c r="M1739" i="1"/>
  <c r="O1738" i="1" a="1"/>
  <c r="O1738" i="1" s="1"/>
  <c r="N1738" i="1"/>
  <c r="M1738" i="1"/>
  <c r="O1737" i="1" a="1"/>
  <c r="O1737" i="1" s="1"/>
  <c r="N1737" i="1"/>
  <c r="M1737" i="1"/>
  <c r="O1736" i="1"/>
  <c r="O1736" i="1" a="1"/>
  <c r="N1736" i="1"/>
  <c r="M1736" i="1"/>
  <c r="O1735" i="1" a="1"/>
  <c r="O1735" i="1" s="1"/>
  <c r="N1735" i="1"/>
  <c r="M1735" i="1"/>
  <c r="O1734" i="1" a="1"/>
  <c r="O1734" i="1" s="1"/>
  <c r="N1734" i="1"/>
  <c r="M1734" i="1"/>
  <c r="O1733" i="1" a="1"/>
  <c r="O1733" i="1" s="1"/>
  <c r="N1733" i="1"/>
  <c r="M1733" i="1"/>
  <c r="O1732" i="1" a="1"/>
  <c r="O1732" i="1" s="1"/>
  <c r="N1732" i="1"/>
  <c r="M1732" i="1"/>
  <c r="O1731" i="1"/>
  <c r="O1731" i="1" a="1"/>
  <c r="N1731" i="1"/>
  <c r="M1731" i="1"/>
  <c r="O1730" i="1" a="1"/>
  <c r="O1730" i="1" s="1"/>
  <c r="N1730" i="1"/>
  <c r="M1730" i="1"/>
  <c r="O1729" i="1"/>
  <c r="O1729" i="1" a="1"/>
  <c r="N1729" i="1"/>
  <c r="M1729" i="1"/>
  <c r="O1728" i="1" a="1"/>
  <c r="O1728" i="1" s="1"/>
  <c r="N1728" i="1"/>
  <c r="M1728" i="1"/>
  <c r="O1727" i="1" a="1"/>
  <c r="O1727" i="1" s="1"/>
  <c r="N1727" i="1"/>
  <c r="M1727" i="1"/>
  <c r="O1726" i="1"/>
  <c r="O1726" i="1" a="1"/>
  <c r="N1726" i="1"/>
  <c r="M1726" i="1"/>
  <c r="O1725" i="1"/>
  <c r="O1725" i="1" a="1"/>
  <c r="N1725" i="1"/>
  <c r="M1725" i="1"/>
  <c r="O1724" i="1" a="1"/>
  <c r="O1724" i="1" s="1"/>
  <c r="N1724" i="1"/>
  <c r="M1724" i="1"/>
  <c r="O1723" i="1" a="1"/>
  <c r="O1723" i="1" s="1"/>
  <c r="N1723" i="1"/>
  <c r="M1723" i="1"/>
  <c r="O1722" i="1"/>
  <c r="O1722" i="1" a="1"/>
  <c r="N1722" i="1"/>
  <c r="M1722" i="1"/>
  <c r="O1721" i="1" a="1"/>
  <c r="O1721" i="1" s="1"/>
  <c r="N1721" i="1"/>
  <c r="M1721" i="1"/>
  <c r="O1720" i="1" a="1"/>
  <c r="O1720" i="1" s="1"/>
  <c r="N1720" i="1"/>
  <c r="M1720" i="1"/>
  <c r="O1719" i="1" a="1"/>
  <c r="O1719" i="1" s="1"/>
  <c r="N1719" i="1"/>
  <c r="M1719" i="1"/>
  <c r="O1718" i="1"/>
  <c r="O1718" i="1" a="1"/>
  <c r="N1718" i="1"/>
  <c r="M1718" i="1"/>
  <c r="O1717" i="1"/>
  <c r="O1717" i="1" a="1"/>
  <c r="N1717" i="1"/>
  <c r="M1717" i="1"/>
  <c r="O1716" i="1"/>
  <c r="O1716" i="1" a="1"/>
  <c r="N1716" i="1"/>
  <c r="M1716" i="1"/>
  <c r="O1715" i="1"/>
  <c r="O1715" i="1" a="1"/>
  <c r="N1715" i="1"/>
  <c r="M1715" i="1"/>
  <c r="O1714" i="1" a="1"/>
  <c r="O1714" i="1" s="1"/>
  <c r="N1714" i="1"/>
  <c r="M1714" i="1"/>
  <c r="O1713" i="1"/>
  <c r="O1713" i="1" a="1"/>
  <c r="N1713" i="1"/>
  <c r="M1713" i="1"/>
  <c r="O1712" i="1" a="1"/>
  <c r="O1712" i="1" s="1"/>
  <c r="N1712" i="1"/>
  <c r="M1712" i="1"/>
  <c r="O1711" i="1" a="1"/>
  <c r="O1711" i="1" s="1"/>
  <c r="N1711" i="1"/>
  <c r="M1711" i="1"/>
  <c r="O1710" i="1" a="1"/>
  <c r="O1710" i="1" s="1"/>
  <c r="N1710" i="1"/>
  <c r="M1710" i="1"/>
  <c r="O1709" i="1"/>
  <c r="O1709" i="1" a="1"/>
  <c r="N1709" i="1"/>
  <c r="M1709" i="1"/>
  <c r="O1708" i="1"/>
  <c r="O1708" i="1" a="1"/>
  <c r="N1708" i="1"/>
  <c r="M1708" i="1"/>
  <c r="O1707" i="1" a="1"/>
  <c r="O1707" i="1" s="1"/>
  <c r="N1707" i="1"/>
  <c r="M1707" i="1"/>
  <c r="O1706" i="1"/>
  <c r="O1706" i="1" a="1"/>
  <c r="N1706" i="1"/>
  <c r="M1706" i="1"/>
  <c r="O1705" i="1" a="1"/>
  <c r="O1705" i="1" s="1"/>
  <c r="N1705" i="1"/>
  <c r="M1705" i="1"/>
  <c r="O1704" i="1" a="1"/>
  <c r="O1704" i="1" s="1"/>
  <c r="N1704" i="1"/>
  <c r="M1704" i="1"/>
  <c r="O1703" i="1" a="1"/>
  <c r="O1703" i="1" s="1"/>
  <c r="N1703" i="1"/>
  <c r="M1703" i="1"/>
  <c r="O1702" i="1" a="1"/>
  <c r="O1702" i="1" s="1"/>
  <c r="N1702" i="1"/>
  <c r="M1702" i="1"/>
  <c r="O1701" i="1"/>
  <c r="O1701" i="1" a="1"/>
  <c r="N1701" i="1"/>
  <c r="M1701" i="1"/>
  <c r="O1700" i="1" a="1"/>
  <c r="O1700" i="1" s="1"/>
  <c r="N1700" i="1"/>
  <c r="M1700" i="1"/>
  <c r="O1699" i="1" a="1"/>
  <c r="O1699" i="1" s="1"/>
  <c r="N1699" i="1"/>
  <c r="M1699" i="1"/>
  <c r="O1698" i="1" a="1"/>
  <c r="O1698" i="1" s="1"/>
  <c r="N1698" i="1"/>
  <c r="M1698" i="1"/>
  <c r="O1697" i="1"/>
  <c r="O1697" i="1" a="1"/>
  <c r="N1697" i="1"/>
  <c r="M1697" i="1"/>
  <c r="O1696" i="1"/>
  <c r="O1696" i="1" a="1"/>
  <c r="N1696" i="1"/>
  <c r="M1696" i="1"/>
  <c r="O1695" i="1" a="1"/>
  <c r="O1695" i="1" s="1"/>
  <c r="N1695" i="1"/>
  <c r="M1695" i="1"/>
  <c r="O1694" i="1"/>
  <c r="O1694" i="1" a="1"/>
  <c r="N1694" i="1"/>
  <c r="M1694" i="1"/>
  <c r="O1693" i="1" a="1"/>
  <c r="O1693" i="1" s="1"/>
  <c r="N1693" i="1"/>
  <c r="M1693" i="1"/>
  <c r="O1692" i="1"/>
  <c r="O1692" i="1" a="1"/>
  <c r="N1692" i="1"/>
  <c r="M1692" i="1"/>
  <c r="O1691" i="1" a="1"/>
  <c r="O1691" i="1" s="1"/>
  <c r="N1691" i="1"/>
  <c r="M1691" i="1"/>
  <c r="O1690" i="1" a="1"/>
  <c r="O1690" i="1" s="1"/>
  <c r="N1690" i="1"/>
  <c r="M1690" i="1"/>
  <c r="O1689" i="1" a="1"/>
  <c r="O1689" i="1" s="1"/>
  <c r="N1689" i="1"/>
  <c r="M1689" i="1"/>
  <c r="O1688" i="1" a="1"/>
  <c r="O1688" i="1" s="1"/>
  <c r="N1688" i="1"/>
  <c r="M1688" i="1"/>
  <c r="O1687" i="1"/>
  <c r="O1687" i="1" a="1"/>
  <c r="N1687" i="1"/>
  <c r="M1687" i="1"/>
  <c r="O1686" i="1" a="1"/>
  <c r="O1686" i="1" s="1"/>
  <c r="N1686" i="1"/>
  <c r="M1686" i="1"/>
  <c r="O1685" i="1"/>
  <c r="O1685" i="1" a="1"/>
  <c r="N1685" i="1"/>
  <c r="M1685" i="1"/>
  <c r="O1684" i="1"/>
  <c r="O1684" i="1" a="1"/>
  <c r="N1684" i="1"/>
  <c r="M1684" i="1"/>
  <c r="O1683" i="1" a="1"/>
  <c r="O1683" i="1" s="1"/>
  <c r="N1683" i="1"/>
  <c r="M1683" i="1"/>
  <c r="O1682" i="1" a="1"/>
  <c r="O1682" i="1" s="1"/>
  <c r="N1682" i="1"/>
  <c r="M1682" i="1"/>
  <c r="O1681" i="1"/>
  <c r="O1681" i="1" a="1"/>
  <c r="N1681" i="1"/>
  <c r="M1681" i="1"/>
  <c r="O1680" i="1"/>
  <c r="O1680" i="1" a="1"/>
  <c r="N1680" i="1"/>
  <c r="M1680" i="1"/>
  <c r="O1679" i="1" a="1"/>
  <c r="O1679" i="1" s="1"/>
  <c r="N1679" i="1"/>
  <c r="M1679" i="1"/>
  <c r="O1678" i="1" a="1"/>
  <c r="O1678" i="1" s="1"/>
  <c r="N1678" i="1"/>
  <c r="M1678" i="1"/>
  <c r="O1677" i="1"/>
  <c r="O1677" i="1" a="1"/>
  <c r="N1677" i="1"/>
  <c r="M1677" i="1"/>
  <c r="O1676" i="1" a="1"/>
  <c r="O1676" i="1" s="1"/>
  <c r="N1676" i="1"/>
  <c r="M1676" i="1"/>
  <c r="O1675" i="1" a="1"/>
  <c r="O1675" i="1" s="1"/>
  <c r="N1675" i="1"/>
  <c r="M1675" i="1"/>
  <c r="O1674" i="1" a="1"/>
  <c r="O1674" i="1" s="1"/>
  <c r="N1674" i="1"/>
  <c r="M1674" i="1"/>
  <c r="O1673" i="1"/>
  <c r="O1673" i="1" a="1"/>
  <c r="N1673" i="1"/>
  <c r="M1673" i="1"/>
  <c r="O1672" i="1" a="1"/>
  <c r="O1672" i="1" s="1"/>
  <c r="N1672" i="1"/>
  <c r="M1672" i="1"/>
  <c r="O1671" i="1" a="1"/>
  <c r="O1671" i="1" s="1"/>
  <c r="N1671" i="1"/>
  <c r="M1671" i="1"/>
  <c r="O1670" i="1"/>
  <c r="O1670" i="1" a="1"/>
  <c r="N1670" i="1"/>
  <c r="M1670" i="1"/>
  <c r="O1669" i="1" a="1"/>
  <c r="O1669" i="1" s="1"/>
  <c r="N1669" i="1"/>
  <c r="M1669" i="1"/>
  <c r="O1668" i="1"/>
  <c r="O1668" i="1" a="1"/>
  <c r="N1668" i="1"/>
  <c r="M1668" i="1"/>
  <c r="O1667" i="1"/>
  <c r="O1667" i="1" a="1"/>
  <c r="N1667" i="1"/>
  <c r="M1667" i="1"/>
  <c r="O1666" i="1"/>
  <c r="O1666" i="1" a="1"/>
  <c r="N1666" i="1"/>
  <c r="M1666" i="1"/>
  <c r="O1665" i="1" a="1"/>
  <c r="O1665" i="1" s="1"/>
  <c r="N1665" i="1"/>
  <c r="M1665" i="1"/>
  <c r="O1664" i="1" a="1"/>
  <c r="O1664" i="1" s="1"/>
  <c r="N1664" i="1"/>
  <c r="M1664" i="1"/>
  <c r="O1663" i="1" a="1"/>
  <c r="O1663" i="1" s="1"/>
  <c r="N1663" i="1"/>
  <c r="M1663" i="1"/>
  <c r="O1662" i="1" a="1"/>
  <c r="O1662" i="1" s="1"/>
  <c r="N1662" i="1"/>
  <c r="M1662" i="1"/>
  <c r="O1661" i="1"/>
  <c r="O1661" i="1" a="1"/>
  <c r="N1661" i="1"/>
  <c r="M1661" i="1"/>
  <c r="O1660" i="1" a="1"/>
  <c r="O1660" i="1" s="1"/>
  <c r="N1660" i="1"/>
  <c r="M1660" i="1"/>
  <c r="O1659" i="1"/>
  <c r="O1659" i="1" a="1"/>
  <c r="N1659" i="1"/>
  <c r="M1659" i="1"/>
  <c r="O1658" i="1" a="1"/>
  <c r="O1658" i="1" s="1"/>
  <c r="N1658" i="1"/>
  <c r="M1658" i="1"/>
  <c r="O1657" i="1" a="1"/>
  <c r="O1657" i="1" s="1"/>
  <c r="N1657" i="1"/>
  <c r="M1657" i="1"/>
  <c r="O1656" i="1" a="1"/>
  <c r="O1656" i="1" s="1"/>
  <c r="N1656" i="1"/>
  <c r="M1656" i="1"/>
  <c r="O1655" i="1"/>
  <c r="O1655" i="1" a="1"/>
  <c r="N1655" i="1"/>
  <c r="M1655" i="1"/>
  <c r="O1654" i="1" a="1"/>
  <c r="O1654" i="1" s="1"/>
  <c r="N1654" i="1"/>
  <c r="M1654" i="1"/>
  <c r="O1653" i="1" a="1"/>
  <c r="O1653" i="1" s="1"/>
  <c r="N1653" i="1"/>
  <c r="M1653" i="1"/>
  <c r="O1652" i="1"/>
  <c r="O1652" i="1" a="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c r="O1645" i="1" a="1"/>
  <c r="N1645" i="1"/>
  <c r="M1645" i="1"/>
  <c r="O1644" i="1" a="1"/>
  <c r="O1644" i="1" s="1"/>
  <c r="N1644" i="1"/>
  <c r="M1644" i="1"/>
  <c r="O1643" i="1" a="1"/>
  <c r="O1643" i="1" s="1"/>
  <c r="N1643" i="1"/>
  <c r="M1643" i="1"/>
  <c r="O1642" i="1"/>
  <c r="O1642" i="1" a="1"/>
  <c r="N1642" i="1"/>
  <c r="M1642" i="1"/>
  <c r="O1641" i="1" a="1"/>
  <c r="O1641" i="1" s="1"/>
  <c r="N1641" i="1"/>
  <c r="M1641" i="1"/>
  <c r="O1640" i="1" a="1"/>
  <c r="O1640" i="1" s="1"/>
  <c r="N1640" i="1"/>
  <c r="M1640" i="1"/>
  <c r="O1639" i="1"/>
  <c r="O1639" i="1" a="1"/>
  <c r="N1639" i="1"/>
  <c r="M1639" i="1"/>
  <c r="O1638" i="1"/>
  <c r="O1638" i="1" a="1"/>
  <c r="N1638" i="1"/>
  <c r="M1638" i="1"/>
  <c r="O1637" i="1" a="1"/>
  <c r="O1637" i="1" s="1"/>
  <c r="N1637" i="1"/>
  <c r="M1637" i="1"/>
  <c r="O1636" i="1"/>
  <c r="O1636" i="1" a="1"/>
  <c r="N1636" i="1"/>
  <c r="M1636" i="1"/>
  <c r="O1635" i="1" a="1"/>
  <c r="O1635" i="1" s="1"/>
  <c r="N1635" i="1"/>
  <c r="M1635" i="1"/>
  <c r="O1634" i="1" a="1"/>
  <c r="O1634" i="1" s="1"/>
  <c r="N1634" i="1"/>
  <c r="M1634" i="1"/>
  <c r="O1633" i="1"/>
  <c r="O1633" i="1" a="1"/>
  <c r="N1633" i="1"/>
  <c r="M1633" i="1"/>
  <c r="O1632" i="1" a="1"/>
  <c r="O1632" i="1" s="1"/>
  <c r="N1632" i="1"/>
  <c r="M1632" i="1"/>
  <c r="O1631" i="1"/>
  <c r="O1631" i="1" a="1"/>
  <c r="N1631" i="1"/>
  <c r="M1631" i="1"/>
  <c r="O1630" i="1" a="1"/>
  <c r="O1630" i="1" s="1"/>
  <c r="N1630" i="1"/>
  <c r="M1630" i="1"/>
  <c r="O1629" i="1" a="1"/>
  <c r="O1629" i="1" s="1"/>
  <c r="N1629" i="1"/>
  <c r="M1629" i="1"/>
  <c r="O1628" i="1"/>
  <c r="O1628" i="1" a="1"/>
  <c r="N1628" i="1"/>
  <c r="M1628" i="1"/>
  <c r="O1627" i="1"/>
  <c r="O1627" i="1" a="1"/>
  <c r="N1627" i="1"/>
  <c r="M1627" i="1"/>
  <c r="O1626" i="1"/>
  <c r="O1626" i="1" a="1"/>
  <c r="N1626" i="1"/>
  <c r="M1626" i="1"/>
  <c r="O1625" i="1" a="1"/>
  <c r="O1625" i="1" s="1"/>
  <c r="N1625" i="1"/>
  <c r="M1625" i="1"/>
  <c r="O1624" i="1"/>
  <c r="O1624" i="1" a="1"/>
  <c r="N1624" i="1"/>
  <c r="M1624" i="1"/>
  <c r="O1623" i="1" a="1"/>
  <c r="O1623" i="1" s="1"/>
  <c r="N1623" i="1"/>
  <c r="M1623" i="1"/>
  <c r="O1622" i="1" a="1"/>
  <c r="O1622" i="1" s="1"/>
  <c r="N1622" i="1"/>
  <c r="M1622" i="1"/>
  <c r="O1621" i="1" a="1"/>
  <c r="O1621" i="1" s="1"/>
  <c r="N1621" i="1"/>
  <c r="M1621" i="1"/>
  <c r="O1620" i="1"/>
  <c r="O1620" i="1" a="1"/>
  <c r="N1620" i="1"/>
  <c r="M1620" i="1"/>
  <c r="O1619" i="1" a="1"/>
  <c r="O1619" i="1" s="1"/>
  <c r="N1619" i="1"/>
  <c r="M1619" i="1"/>
  <c r="O1618" i="1" a="1"/>
  <c r="O1618" i="1" s="1"/>
  <c r="N1618" i="1"/>
  <c r="M1618" i="1"/>
  <c r="O1617" i="1"/>
  <c r="O1617" i="1" a="1"/>
  <c r="N1617" i="1"/>
  <c r="M1617" i="1"/>
  <c r="O1616" i="1" a="1"/>
  <c r="O1616" i="1" s="1"/>
  <c r="N1616" i="1"/>
  <c r="M1616" i="1"/>
  <c r="O1615" i="1" a="1"/>
  <c r="O1615" i="1" s="1"/>
  <c r="N1615" i="1"/>
  <c r="M1615" i="1"/>
  <c r="O1614" i="1" a="1"/>
  <c r="O1614" i="1" s="1"/>
  <c r="N1614" i="1"/>
  <c r="M1614" i="1"/>
  <c r="O1613" i="1"/>
  <c r="O1613" i="1" a="1"/>
  <c r="N1613" i="1"/>
  <c r="M1613" i="1"/>
  <c r="O1612" i="1"/>
  <c r="O1612" i="1" a="1"/>
  <c r="N1612" i="1"/>
  <c r="M1612" i="1"/>
  <c r="O1611" i="1" a="1"/>
  <c r="O1611" i="1" s="1"/>
  <c r="N1611" i="1"/>
  <c r="M1611" i="1"/>
  <c r="O1610" i="1"/>
  <c r="O1610" i="1" a="1"/>
  <c r="N1610" i="1"/>
  <c r="M1610" i="1"/>
  <c r="O1609" i="1" a="1"/>
  <c r="O1609" i="1" s="1"/>
  <c r="N1609" i="1"/>
  <c r="M1609" i="1"/>
  <c r="O1608" i="1"/>
  <c r="O1608" i="1" a="1"/>
  <c r="N1608" i="1"/>
  <c r="M1608" i="1"/>
  <c r="O1607" i="1"/>
  <c r="O1607" i="1" a="1"/>
  <c r="N1607" i="1"/>
  <c r="M1607" i="1"/>
  <c r="O1606" i="1" a="1"/>
  <c r="O1606" i="1" s="1"/>
  <c r="N1606" i="1"/>
  <c r="M1606" i="1"/>
  <c r="O1605" i="1" a="1"/>
  <c r="O1605" i="1" s="1"/>
  <c r="N1605" i="1"/>
  <c r="M1605" i="1"/>
  <c r="O1604" i="1"/>
  <c r="O1604" i="1" a="1"/>
  <c r="N1604" i="1"/>
  <c r="M1604" i="1"/>
  <c r="O1603" i="1"/>
  <c r="O1603" i="1" a="1"/>
  <c r="N1603" i="1"/>
  <c r="M1603" i="1"/>
  <c r="O1602" i="1" a="1"/>
  <c r="O1602" i="1" s="1"/>
  <c r="N1602" i="1"/>
  <c r="M1602" i="1"/>
  <c r="O1601" i="1"/>
  <c r="O1601" i="1" a="1"/>
  <c r="N1601" i="1"/>
  <c r="M1601" i="1"/>
  <c r="O1600" i="1" a="1"/>
  <c r="O1600" i="1" s="1"/>
  <c r="N1600" i="1"/>
  <c r="M1600" i="1"/>
  <c r="O1599" i="1"/>
  <c r="O1599" i="1" a="1"/>
  <c r="N1599" i="1"/>
  <c r="M1599" i="1"/>
  <c r="O1598" i="1"/>
  <c r="O1598" i="1" a="1"/>
  <c r="N1598" i="1"/>
  <c r="M1598" i="1"/>
  <c r="O1597" i="1"/>
  <c r="O1597" i="1" a="1"/>
  <c r="N1597" i="1"/>
  <c r="M1597" i="1"/>
  <c r="O1596" i="1"/>
  <c r="O1596" i="1" a="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c r="O1589" i="1" a="1"/>
  <c r="N1589" i="1"/>
  <c r="M1589" i="1"/>
  <c r="O1588" i="1" a="1"/>
  <c r="O1588" i="1" s="1"/>
  <c r="N1588" i="1"/>
  <c r="M1588" i="1"/>
  <c r="O1587" i="1"/>
  <c r="O1587" i="1" a="1"/>
  <c r="N1587" i="1"/>
  <c r="M1587" i="1"/>
  <c r="O1586" i="1" a="1"/>
  <c r="O1586" i="1" s="1"/>
  <c r="N1586" i="1"/>
  <c r="M1586" i="1"/>
  <c r="O1585" i="1" a="1"/>
  <c r="O1585" i="1" s="1"/>
  <c r="N1585" i="1"/>
  <c r="M1585" i="1"/>
  <c r="O1584" i="1" a="1"/>
  <c r="O1584" i="1" s="1"/>
  <c r="N1584" i="1"/>
  <c r="M1584" i="1"/>
  <c r="O1583" i="1" a="1"/>
  <c r="O1583" i="1" s="1"/>
  <c r="N1583" i="1"/>
  <c r="M1583" i="1"/>
  <c r="O1582" i="1"/>
  <c r="O1582" i="1" a="1"/>
  <c r="N1582" i="1"/>
  <c r="M1582" i="1"/>
  <c r="O1581" i="1" a="1"/>
  <c r="O1581" i="1" s="1"/>
  <c r="N1581" i="1"/>
  <c r="M1581" i="1"/>
  <c r="O1580" i="1" a="1"/>
  <c r="O1580" i="1" s="1"/>
  <c r="N1580" i="1"/>
  <c r="M1580" i="1"/>
  <c r="O1579" i="1"/>
  <c r="O1579" i="1" a="1"/>
  <c r="N1579" i="1"/>
  <c r="M1579" i="1"/>
  <c r="O1578" i="1"/>
  <c r="O1578" i="1" a="1"/>
  <c r="N1578" i="1"/>
  <c r="M1578" i="1"/>
  <c r="O1577" i="1" a="1"/>
  <c r="O1577" i="1" s="1"/>
  <c r="N1577" i="1"/>
  <c r="M1577" i="1"/>
  <c r="O1576" i="1" a="1"/>
  <c r="O1576" i="1" s="1"/>
  <c r="N1576" i="1"/>
  <c r="M1576" i="1"/>
  <c r="O1575" i="1"/>
  <c r="O1575" i="1" a="1"/>
  <c r="N1575" i="1"/>
  <c r="M1575" i="1"/>
  <c r="O1574" i="1" a="1"/>
  <c r="O1574" i="1" s="1"/>
  <c r="N1574" i="1"/>
  <c r="M1574" i="1"/>
  <c r="O1573" i="1" a="1"/>
  <c r="O1573" i="1" s="1"/>
  <c r="N1573" i="1"/>
  <c r="M1573" i="1"/>
  <c r="O1572" i="1" a="1"/>
  <c r="O1572" i="1" s="1"/>
  <c r="N1572" i="1"/>
  <c r="M1572" i="1"/>
  <c r="O1571" i="1"/>
  <c r="O1571" i="1" a="1"/>
  <c r="N1571" i="1"/>
  <c r="M1571" i="1"/>
  <c r="O1570" i="1" a="1"/>
  <c r="O1570" i="1" s="1"/>
  <c r="N1570" i="1"/>
  <c r="M1570" i="1"/>
  <c r="O1569" i="1" a="1"/>
  <c r="O1569" i="1" s="1"/>
  <c r="N1569" i="1"/>
  <c r="M1569" i="1"/>
  <c r="O1568" i="1"/>
  <c r="O1568" i="1" a="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c r="O1561" i="1" a="1"/>
  <c r="N1561" i="1"/>
  <c r="M1561" i="1"/>
  <c r="O1560" i="1" a="1"/>
  <c r="O1560" i="1" s="1"/>
  <c r="N1560" i="1"/>
  <c r="M1560" i="1"/>
  <c r="O1559" i="1"/>
  <c r="O1559" i="1" a="1"/>
  <c r="N1559" i="1"/>
  <c r="M1559" i="1"/>
  <c r="O1558" i="1"/>
  <c r="O1558" i="1" a="1"/>
  <c r="N1558" i="1"/>
  <c r="M1558" i="1"/>
  <c r="O1557" i="1"/>
  <c r="O1557" i="1" a="1"/>
  <c r="N1557" i="1"/>
  <c r="M1557" i="1"/>
  <c r="O1556" i="1" a="1"/>
  <c r="O1556" i="1" s="1"/>
  <c r="N1556" i="1"/>
  <c r="M1556" i="1"/>
  <c r="O1555" i="1" a="1"/>
  <c r="O1555" i="1" s="1"/>
  <c r="N1555" i="1"/>
  <c r="M1555" i="1"/>
  <c r="O1554" i="1"/>
  <c r="O1554" i="1" a="1"/>
  <c r="N1554" i="1"/>
  <c r="M1554" i="1"/>
  <c r="O1553" i="1" a="1"/>
  <c r="O1553" i="1" s="1"/>
  <c r="N1553" i="1"/>
  <c r="M1553" i="1"/>
  <c r="O1552" i="1" a="1"/>
  <c r="O1552" i="1" s="1"/>
  <c r="N1552" i="1"/>
  <c r="M1552" i="1"/>
  <c r="O1551" i="1"/>
  <c r="O1551" i="1" a="1"/>
  <c r="N1551" i="1"/>
  <c r="M1551" i="1"/>
  <c r="O1550" i="1" a="1"/>
  <c r="O1550" i="1" s="1"/>
  <c r="N1550" i="1"/>
  <c r="M1550" i="1"/>
  <c r="O1549" i="1"/>
  <c r="O1549" i="1" a="1"/>
  <c r="N1549" i="1"/>
  <c r="M1549" i="1"/>
  <c r="O1548" i="1"/>
  <c r="O1548" i="1" a="1"/>
  <c r="N1548" i="1"/>
  <c r="M1548" i="1"/>
  <c r="O1547" i="1"/>
  <c r="O1547" i="1" a="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c r="O1540" i="1" a="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c r="O1533" i="1" a="1"/>
  <c r="N1533" i="1"/>
  <c r="M1533" i="1"/>
  <c r="O1532" i="1" a="1"/>
  <c r="O1532" i="1" s="1"/>
  <c r="N1532" i="1"/>
  <c r="M1532" i="1"/>
  <c r="O1531" i="1" a="1"/>
  <c r="O1531" i="1" s="1"/>
  <c r="N1531" i="1"/>
  <c r="M1531" i="1"/>
  <c r="O1530" i="1"/>
  <c r="O1530" i="1" a="1"/>
  <c r="N1530" i="1"/>
  <c r="M1530" i="1"/>
  <c r="O1529" i="1"/>
  <c r="O1529" i="1" a="1"/>
  <c r="N1529" i="1"/>
  <c r="M1529" i="1"/>
  <c r="O1528" i="1" a="1"/>
  <c r="O1528" i="1" s="1"/>
  <c r="N1528" i="1"/>
  <c r="M1528" i="1"/>
  <c r="O1527" i="1" a="1"/>
  <c r="O1527" i="1" s="1"/>
  <c r="N1527" i="1"/>
  <c r="M1527" i="1"/>
  <c r="O1526" i="1"/>
  <c r="O1526" i="1" a="1"/>
  <c r="N1526" i="1"/>
  <c r="M1526" i="1"/>
  <c r="O1525" i="1" a="1"/>
  <c r="O1525" i="1" s="1"/>
  <c r="N1525" i="1"/>
  <c r="M1525" i="1"/>
  <c r="O1524" i="1"/>
  <c r="O1524" i="1" a="1"/>
  <c r="N1524" i="1"/>
  <c r="M1524" i="1"/>
  <c r="O1523" i="1"/>
  <c r="O1523" i="1" a="1"/>
  <c r="N1523" i="1"/>
  <c r="M1523" i="1"/>
  <c r="O1522" i="1" a="1"/>
  <c r="O1522" i="1" s="1"/>
  <c r="N1522" i="1"/>
  <c r="M1522" i="1"/>
  <c r="O1521" i="1" a="1"/>
  <c r="O1521" i="1" s="1"/>
  <c r="N1521" i="1"/>
  <c r="M1521" i="1"/>
  <c r="O1520" i="1"/>
  <c r="O1520" i="1" a="1"/>
  <c r="N1520" i="1"/>
  <c r="M1520" i="1"/>
  <c r="O1519" i="1"/>
  <c r="O1519" i="1" a="1"/>
  <c r="N1519" i="1"/>
  <c r="M1519" i="1"/>
  <c r="O1518" i="1" a="1"/>
  <c r="O1518" i="1" s="1"/>
  <c r="N1518" i="1"/>
  <c r="M1518" i="1"/>
  <c r="O1517" i="1"/>
  <c r="O1517" i="1" a="1"/>
  <c r="N1517" i="1"/>
  <c r="M1517" i="1"/>
  <c r="O1516" i="1" a="1"/>
  <c r="O1516" i="1" s="1"/>
  <c r="N1516" i="1"/>
  <c r="M1516" i="1"/>
  <c r="O1515" i="1" a="1"/>
  <c r="O1515" i="1" s="1"/>
  <c r="N1515" i="1"/>
  <c r="M1515" i="1"/>
  <c r="O1514" i="1" a="1"/>
  <c r="O1514" i="1" s="1"/>
  <c r="N1514" i="1"/>
  <c r="M1514" i="1"/>
  <c r="O1513" i="1"/>
  <c r="O1513" i="1" a="1"/>
  <c r="N1513" i="1"/>
  <c r="M1513" i="1"/>
  <c r="O1512" i="1"/>
  <c r="O1512" i="1" a="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c r="O1505" i="1" a="1"/>
  <c r="N1505" i="1"/>
  <c r="M1505" i="1"/>
  <c r="O1504" i="1" a="1"/>
  <c r="O1504" i="1" s="1"/>
  <c r="N1504" i="1"/>
  <c r="M1504" i="1"/>
  <c r="O1503" i="1" a="1"/>
  <c r="O1503" i="1" s="1"/>
  <c r="N1503" i="1"/>
  <c r="M1503" i="1"/>
  <c r="O1502" i="1" a="1"/>
  <c r="O1502" i="1" s="1"/>
  <c r="N1502" i="1"/>
  <c r="M1502" i="1"/>
  <c r="O1501" i="1"/>
  <c r="O1501" i="1" a="1"/>
  <c r="N1501" i="1"/>
  <c r="M1501" i="1"/>
  <c r="O1500" i="1"/>
  <c r="O1500" i="1" a="1"/>
  <c r="N1500" i="1"/>
  <c r="M1500" i="1"/>
  <c r="O1499" i="1" a="1"/>
  <c r="O1499" i="1" s="1"/>
  <c r="N1499" i="1"/>
  <c r="M1499" i="1"/>
  <c r="O1498" i="1"/>
  <c r="O1498" i="1" a="1"/>
  <c r="N1498" i="1"/>
  <c r="M1498" i="1"/>
  <c r="O1497" i="1" a="1"/>
  <c r="O1497" i="1" s="1"/>
  <c r="N1497" i="1"/>
  <c r="M1497" i="1"/>
  <c r="O1496" i="1" a="1"/>
  <c r="O1496" i="1" s="1"/>
  <c r="N1496" i="1"/>
  <c r="M1496" i="1"/>
  <c r="O1495" i="1"/>
  <c r="O1495" i="1" a="1"/>
  <c r="N1495" i="1"/>
  <c r="M1495" i="1"/>
  <c r="O1494" i="1" a="1"/>
  <c r="O1494" i="1" s="1"/>
  <c r="N1494" i="1"/>
  <c r="M1494" i="1"/>
  <c r="O1493" i="1" a="1"/>
  <c r="O1493" i="1" s="1"/>
  <c r="N1493" i="1"/>
  <c r="M1493" i="1"/>
  <c r="O1492" i="1" a="1"/>
  <c r="O1492" i="1" s="1"/>
  <c r="N1492" i="1"/>
  <c r="M1492" i="1"/>
  <c r="O1491" i="1"/>
  <c r="O1491" i="1" a="1"/>
  <c r="N1491" i="1"/>
  <c r="M1491" i="1"/>
  <c r="O1490" i="1" a="1"/>
  <c r="O1490" i="1" s="1"/>
  <c r="N1490" i="1"/>
  <c r="M1490" i="1"/>
  <c r="O1489" i="1" a="1"/>
  <c r="O1489" i="1" s="1"/>
  <c r="N1489" i="1"/>
  <c r="M1489" i="1"/>
  <c r="O1488" i="1"/>
  <c r="O1488" i="1" a="1"/>
  <c r="N1488" i="1"/>
  <c r="M1488" i="1"/>
  <c r="O1487" i="1" a="1"/>
  <c r="O1487" i="1" s="1"/>
  <c r="N1487" i="1"/>
  <c r="M1487" i="1"/>
  <c r="O1486" i="1" a="1"/>
  <c r="O1486" i="1" s="1"/>
  <c r="N1486" i="1"/>
  <c r="M1486" i="1"/>
  <c r="O1485" i="1"/>
  <c r="O1485" i="1" a="1"/>
  <c r="N1485" i="1"/>
  <c r="M1485" i="1"/>
  <c r="O1484" i="1"/>
  <c r="O1484" i="1" a="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c r="O1477" i="1" a="1"/>
  <c r="N1477" i="1"/>
  <c r="M1477" i="1"/>
  <c r="O1476" i="1" a="1"/>
  <c r="O1476" i="1" s="1"/>
  <c r="N1476" i="1"/>
  <c r="M1476" i="1"/>
  <c r="O1475" i="1" a="1"/>
  <c r="O1475" i="1" s="1"/>
  <c r="N1475" i="1"/>
  <c r="M1475" i="1"/>
  <c r="O1474" i="1" a="1"/>
  <c r="O1474" i="1" s="1"/>
  <c r="N1474" i="1"/>
  <c r="M1474" i="1"/>
  <c r="O1473" i="1" a="1"/>
  <c r="O1473" i="1" s="1"/>
  <c r="N1473" i="1"/>
  <c r="M1473" i="1"/>
  <c r="O1472" i="1"/>
  <c r="O1472" i="1" a="1"/>
  <c r="N1472" i="1"/>
  <c r="M1472" i="1"/>
  <c r="O1471" i="1"/>
  <c r="O1471" i="1" a="1"/>
  <c r="N1471" i="1"/>
  <c r="M1471" i="1"/>
  <c r="O1470" i="1"/>
  <c r="O1470" i="1" a="1"/>
  <c r="N1470" i="1"/>
  <c r="M1470" i="1"/>
  <c r="O1469" i="1" a="1"/>
  <c r="O1469" i="1" s="1"/>
  <c r="N1469" i="1"/>
  <c r="M1469" i="1"/>
  <c r="O1468" i="1" a="1"/>
  <c r="O1468" i="1" s="1"/>
  <c r="N1468" i="1"/>
  <c r="M1468" i="1"/>
  <c r="O1467" i="1" a="1"/>
  <c r="O1467" i="1" s="1"/>
  <c r="N1467" i="1"/>
  <c r="M1467" i="1"/>
  <c r="O1466" i="1"/>
  <c r="O1466" i="1" a="1"/>
  <c r="N1466" i="1"/>
  <c r="M1466" i="1"/>
  <c r="O1465" i="1" a="1"/>
  <c r="O1465" i="1" s="1"/>
  <c r="N1465" i="1"/>
  <c r="M1465" i="1"/>
  <c r="O1464" i="1" a="1"/>
  <c r="O1464" i="1" s="1"/>
  <c r="N1464" i="1"/>
  <c r="M1464" i="1"/>
  <c r="O1463" i="1"/>
  <c r="O1463" i="1" a="1"/>
  <c r="N1463" i="1"/>
  <c r="M1463" i="1"/>
  <c r="O1462" i="1" a="1"/>
  <c r="O1462" i="1" s="1"/>
  <c r="N1462" i="1"/>
  <c r="M1462" i="1"/>
  <c r="O1461" i="1" a="1"/>
  <c r="O1461" i="1" s="1"/>
  <c r="N1461" i="1"/>
  <c r="M1461" i="1"/>
  <c r="O1460" i="1"/>
  <c r="O1460" i="1" a="1"/>
  <c r="N1460" i="1"/>
  <c r="M1460" i="1"/>
  <c r="O1459" i="1"/>
  <c r="O1459" i="1" a="1"/>
  <c r="N1459" i="1"/>
  <c r="M1459" i="1"/>
  <c r="O1458" i="1" a="1"/>
  <c r="O1458" i="1" s="1"/>
  <c r="N1458" i="1"/>
  <c r="M1458" i="1"/>
  <c r="O1457" i="1" a="1"/>
  <c r="O1457" i="1" s="1"/>
  <c r="N1457" i="1"/>
  <c r="M1457" i="1"/>
  <c r="O1456" i="1"/>
  <c r="O1456" i="1" a="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c r="O1449" i="1" a="1"/>
  <c r="N1449" i="1"/>
  <c r="M1449" i="1"/>
  <c r="O1448" i="1" a="1"/>
  <c r="O1448" i="1" s="1"/>
  <c r="N1448" i="1"/>
  <c r="M1448" i="1"/>
  <c r="O1447" i="1" a="1"/>
  <c r="O1447" i="1" s="1"/>
  <c r="N1447" i="1"/>
  <c r="M1447" i="1"/>
  <c r="O1446" i="1"/>
  <c r="O1446" i="1" a="1"/>
  <c r="N1446" i="1"/>
  <c r="M1446" i="1"/>
  <c r="O1445" i="1" a="1"/>
  <c r="O1445" i="1" s="1"/>
  <c r="N1445" i="1"/>
  <c r="M1445" i="1"/>
  <c r="O1444" i="1" a="1"/>
  <c r="O1444" i="1" s="1"/>
  <c r="N1444" i="1"/>
  <c r="M1444" i="1"/>
  <c r="O1443" i="1"/>
  <c r="O1443" i="1" a="1"/>
  <c r="N1443" i="1"/>
  <c r="M1443" i="1"/>
  <c r="O1442" i="1"/>
  <c r="O1442" i="1" a="1"/>
  <c r="N1442" i="1"/>
  <c r="M1442" i="1"/>
  <c r="O1441" i="1" a="1"/>
  <c r="O1441" i="1" s="1"/>
  <c r="N1441" i="1"/>
  <c r="M1441" i="1"/>
  <c r="O1440" i="1"/>
  <c r="O1440" i="1" a="1"/>
  <c r="N1440" i="1"/>
  <c r="M1440" i="1"/>
  <c r="O1439" i="1" a="1"/>
  <c r="O1439" i="1" s="1"/>
  <c r="N1439" i="1"/>
  <c r="M1439" i="1"/>
  <c r="O1438" i="1" a="1"/>
  <c r="O1438" i="1" s="1"/>
  <c r="N1438" i="1"/>
  <c r="M1438" i="1"/>
  <c r="O1437" i="1"/>
  <c r="O1437" i="1" a="1"/>
  <c r="N1437" i="1"/>
  <c r="M1437" i="1"/>
  <c r="O1436" i="1" a="1"/>
  <c r="O1436" i="1" s="1"/>
  <c r="N1436" i="1"/>
  <c r="M1436" i="1"/>
  <c r="O1435" i="1"/>
  <c r="O1435" i="1" a="1"/>
  <c r="N1435" i="1"/>
  <c r="M1435" i="1"/>
  <c r="O1434" i="1" a="1"/>
  <c r="O1434" i="1" s="1"/>
  <c r="N1434" i="1"/>
  <c r="M1434" i="1"/>
  <c r="O1433" i="1" a="1"/>
  <c r="O1433" i="1" s="1"/>
  <c r="N1433" i="1"/>
  <c r="M1433" i="1"/>
  <c r="O1432" i="1"/>
  <c r="O1432" i="1" a="1"/>
  <c r="N1432" i="1"/>
  <c r="M1432" i="1"/>
  <c r="O1431" i="1"/>
  <c r="O1431" i="1" a="1"/>
  <c r="N1431" i="1"/>
  <c r="M1431" i="1"/>
  <c r="O1430" i="1"/>
  <c r="O1430" i="1" a="1"/>
  <c r="N1430" i="1"/>
  <c r="M1430" i="1"/>
  <c r="O1429" i="1" a="1"/>
  <c r="O1429" i="1" s="1"/>
  <c r="N1429" i="1"/>
  <c r="M1429" i="1"/>
  <c r="O1428" i="1"/>
  <c r="O1428" i="1" a="1"/>
  <c r="N1428" i="1"/>
  <c r="M1428" i="1"/>
  <c r="O1427" i="1" a="1"/>
  <c r="O1427" i="1" s="1"/>
  <c r="N1427" i="1"/>
  <c r="M1427" i="1"/>
  <c r="O1426" i="1"/>
  <c r="O1426" i="1" a="1"/>
  <c r="N1426" i="1"/>
  <c r="M1426" i="1"/>
  <c r="O1425" i="1" a="1"/>
  <c r="O1425" i="1" s="1"/>
  <c r="N1425" i="1"/>
  <c r="M1425" i="1"/>
  <c r="O1424" i="1" a="1"/>
  <c r="O1424" i="1" s="1"/>
  <c r="N1424" i="1"/>
  <c r="M1424" i="1"/>
  <c r="O1423" i="1" a="1"/>
  <c r="O1423" i="1" s="1"/>
  <c r="N1423" i="1"/>
  <c r="M1423" i="1"/>
  <c r="O1422" i="1" a="1"/>
  <c r="O1422" i="1" s="1"/>
  <c r="N1422" i="1"/>
  <c r="M1422" i="1"/>
  <c r="O1421" i="1"/>
  <c r="O1421" i="1" a="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c r="O1414" i="1" a="1"/>
  <c r="N1414" i="1"/>
  <c r="M1414" i="1"/>
  <c r="O1413" i="1" a="1"/>
  <c r="O1413" i="1" s="1"/>
  <c r="N1413" i="1"/>
  <c r="M1413" i="1"/>
  <c r="O1412" i="1"/>
  <c r="O1412" i="1" a="1"/>
  <c r="N1412" i="1"/>
  <c r="M1412" i="1"/>
  <c r="O1411" i="1"/>
  <c r="O1411" i="1" a="1"/>
  <c r="N1411" i="1"/>
  <c r="M1411" i="1"/>
  <c r="O1410" i="1" a="1"/>
  <c r="O1410" i="1" s="1"/>
  <c r="N1410" i="1"/>
  <c r="M1410" i="1"/>
  <c r="O1409" i="1"/>
  <c r="O1409" i="1" a="1"/>
  <c r="N1409" i="1"/>
  <c r="M1409" i="1"/>
  <c r="O1408" i="1"/>
  <c r="O1408" i="1" a="1"/>
  <c r="N1408" i="1"/>
  <c r="M1408" i="1"/>
  <c r="O1407" i="1"/>
  <c r="O1407" i="1" a="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c r="O1401" i="1" a="1"/>
  <c r="N1401" i="1"/>
  <c r="M1401" i="1"/>
  <c r="O1400" i="1"/>
  <c r="O1400" i="1" a="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c r="O1394" i="1" a="1"/>
  <c r="N1394" i="1"/>
  <c r="M1394" i="1"/>
  <c r="O1393" i="1"/>
  <c r="O1393" i="1" a="1"/>
  <c r="N1393" i="1"/>
  <c r="M1393" i="1"/>
  <c r="O1392" i="1" a="1"/>
  <c r="O1392" i="1" s="1"/>
  <c r="N1392" i="1"/>
  <c r="M1392" i="1"/>
  <c r="O1391" i="1"/>
  <c r="O1391" i="1" a="1"/>
  <c r="N1391" i="1"/>
  <c r="M1391" i="1"/>
  <c r="O1390" i="1"/>
  <c r="O1390" i="1" a="1"/>
  <c r="N1390" i="1"/>
  <c r="M1390" i="1"/>
  <c r="O1389" i="1" a="1"/>
  <c r="O1389" i="1" s="1"/>
  <c r="N1389" i="1"/>
  <c r="M1389" i="1"/>
  <c r="O1388" i="1"/>
  <c r="O1388" i="1" a="1"/>
  <c r="N1388" i="1"/>
  <c r="M1388" i="1"/>
  <c r="O1387" i="1"/>
  <c r="O1387" i="1" a="1"/>
  <c r="N1387" i="1"/>
  <c r="M1387" i="1"/>
  <c r="O1386" i="1"/>
  <c r="O1386" i="1" a="1"/>
  <c r="N1386" i="1"/>
  <c r="M1386" i="1"/>
  <c r="O1385" i="1" a="1"/>
  <c r="O1385" i="1" s="1"/>
  <c r="N1385" i="1"/>
  <c r="M1385" i="1"/>
  <c r="O1384" i="1"/>
  <c r="O1384" i="1" a="1"/>
  <c r="N1384" i="1"/>
  <c r="M1384" i="1"/>
  <c r="O1383" i="1" a="1"/>
  <c r="O1383" i="1" s="1"/>
  <c r="N1383" i="1"/>
  <c r="M1383" i="1"/>
  <c r="O1382" i="1"/>
  <c r="O1382" i="1" a="1"/>
  <c r="N1382" i="1"/>
  <c r="M1382" i="1"/>
  <c r="O1381" i="1"/>
  <c r="O1381" i="1" a="1"/>
  <c r="N1381" i="1"/>
  <c r="M1381" i="1"/>
  <c r="O1380" i="1" a="1"/>
  <c r="O1380" i="1" s="1"/>
  <c r="N1380" i="1"/>
  <c r="M1380" i="1"/>
  <c r="O1379" i="1"/>
  <c r="O1379" i="1" a="1"/>
  <c r="N1379" i="1"/>
  <c r="M1379" i="1"/>
  <c r="O1378" i="1" a="1"/>
  <c r="O1378" i="1" s="1"/>
  <c r="N1378" i="1"/>
  <c r="M1378" i="1"/>
  <c r="O1377" i="1" a="1"/>
  <c r="O1377" i="1" s="1"/>
  <c r="N1377" i="1"/>
  <c r="M1377" i="1"/>
  <c r="O1376" i="1" a="1"/>
  <c r="O1376" i="1" s="1"/>
  <c r="N1376" i="1"/>
  <c r="M1376" i="1"/>
  <c r="O1375" i="1"/>
  <c r="O1375" i="1" a="1"/>
  <c r="N1375" i="1"/>
  <c r="M1375" i="1"/>
  <c r="O1374" i="1" a="1"/>
  <c r="O1374" i="1" s="1"/>
  <c r="N1374" i="1"/>
  <c r="M1374" i="1"/>
  <c r="O1373" i="1" a="1"/>
  <c r="O1373" i="1" s="1"/>
  <c r="N1373" i="1"/>
  <c r="M1373" i="1"/>
  <c r="O1372" i="1"/>
  <c r="O1372" i="1" a="1"/>
  <c r="N1372" i="1"/>
  <c r="M1372" i="1"/>
  <c r="O1371" i="1" a="1"/>
  <c r="O1371" i="1" s="1"/>
  <c r="N1371" i="1"/>
  <c r="M1371" i="1"/>
  <c r="O1370" i="1" a="1"/>
  <c r="O1370" i="1" s="1"/>
  <c r="N1370" i="1"/>
  <c r="M1370" i="1"/>
  <c r="O1369" i="1" a="1"/>
  <c r="O1369" i="1" s="1"/>
  <c r="N1369" i="1"/>
  <c r="M1369" i="1"/>
  <c r="O1368" i="1"/>
  <c r="O1368" i="1" a="1"/>
  <c r="N1368" i="1"/>
  <c r="M1368" i="1"/>
  <c r="O1367" i="1" a="1"/>
  <c r="O1367" i="1" s="1"/>
  <c r="N1367" i="1"/>
  <c r="M1367" i="1"/>
  <c r="O1366" i="1" a="1"/>
  <c r="O1366" i="1" s="1"/>
  <c r="N1366" i="1"/>
  <c r="M1366" i="1"/>
  <c r="O1365" i="1"/>
  <c r="O1365" i="1" a="1"/>
  <c r="N1365" i="1"/>
  <c r="M1365" i="1"/>
  <c r="O1364" i="1" a="1"/>
  <c r="O1364" i="1" s="1"/>
  <c r="N1364" i="1"/>
  <c r="M1364" i="1"/>
  <c r="O1363" i="1"/>
  <c r="O1363" i="1" a="1"/>
  <c r="N1363" i="1"/>
  <c r="M1363" i="1"/>
  <c r="O1362" i="1"/>
  <c r="O1362" i="1" a="1"/>
  <c r="N1362" i="1"/>
  <c r="M1362" i="1"/>
  <c r="O1361" i="1" a="1"/>
  <c r="O1361" i="1" s="1"/>
  <c r="N1361" i="1"/>
  <c r="M1361" i="1"/>
  <c r="O1360" i="1" a="1"/>
  <c r="O1360" i="1" s="1"/>
  <c r="N1360" i="1"/>
  <c r="M1360" i="1"/>
  <c r="O1359" i="1" a="1"/>
  <c r="O1359" i="1" s="1"/>
  <c r="N1359" i="1"/>
  <c r="M1359" i="1"/>
  <c r="O1358" i="1"/>
  <c r="O1358" i="1" a="1"/>
  <c r="N1358" i="1"/>
  <c r="M1358" i="1"/>
  <c r="O1357" i="1" a="1"/>
  <c r="O1357" i="1" s="1"/>
  <c r="N1357" i="1"/>
  <c r="M1357" i="1"/>
  <c r="O1356" i="1"/>
  <c r="O1356" i="1" a="1"/>
  <c r="N1356" i="1"/>
  <c r="M1356" i="1"/>
  <c r="O1355" i="1"/>
  <c r="O1355" i="1" a="1"/>
  <c r="N1355" i="1"/>
  <c r="M1355" i="1"/>
  <c r="O1354" i="1" a="1"/>
  <c r="O1354" i="1" s="1"/>
  <c r="N1354" i="1"/>
  <c r="M1354" i="1"/>
  <c r="O1353" i="1"/>
  <c r="O1353" i="1" a="1"/>
  <c r="N1353" i="1"/>
  <c r="M1353" i="1"/>
  <c r="O1352" i="1"/>
  <c r="O1352" i="1" a="1"/>
  <c r="N1352" i="1"/>
  <c r="M1352" i="1"/>
  <c r="O1351" i="1"/>
  <c r="O1351" i="1" a="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c r="O1344" i="1" a="1"/>
  <c r="N1344" i="1"/>
  <c r="M1344" i="1"/>
  <c r="O1343" i="1"/>
  <c r="O1343" i="1" a="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c r="O1337" i="1" a="1"/>
  <c r="N1337" i="1"/>
  <c r="M1337" i="1"/>
  <c r="O1336" i="1"/>
  <c r="O1336" i="1" a="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c r="O1330" i="1" a="1"/>
  <c r="N1330" i="1"/>
  <c r="M1330" i="1"/>
  <c r="O1329" i="1"/>
  <c r="O1329" i="1" a="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c r="O1323" i="1" a="1"/>
  <c r="N1323" i="1"/>
  <c r="M1323" i="1"/>
  <c r="O1322" i="1"/>
  <c r="O1322" i="1" a="1"/>
  <c r="N1322" i="1"/>
  <c r="M1322" i="1"/>
  <c r="O1321" i="1" a="1"/>
  <c r="O1321" i="1" s="1"/>
  <c r="N1321" i="1"/>
  <c r="M1321" i="1"/>
  <c r="O1320" i="1" a="1"/>
  <c r="O1320" i="1" s="1"/>
  <c r="N1320" i="1"/>
  <c r="M1320" i="1"/>
  <c r="O1319" i="1"/>
  <c r="O1319" i="1" a="1"/>
  <c r="N1319" i="1"/>
  <c r="M1319" i="1"/>
  <c r="O1318" i="1" a="1"/>
  <c r="O1318" i="1" s="1"/>
  <c r="N1318" i="1"/>
  <c r="M1318" i="1"/>
  <c r="O1317" i="1" a="1"/>
  <c r="O1317" i="1" s="1"/>
  <c r="N1317" i="1"/>
  <c r="M1317" i="1"/>
  <c r="O1316" i="1"/>
  <c r="O1316" i="1" a="1"/>
  <c r="N1316" i="1"/>
  <c r="M1316" i="1"/>
  <c r="O1315" i="1"/>
  <c r="O1315" i="1" a="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c r="O1309" i="1" a="1"/>
  <c r="N1309" i="1"/>
  <c r="M1309" i="1"/>
  <c r="O1308" i="1"/>
  <c r="O1308" i="1" a="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c r="O1302" i="1" a="1"/>
  <c r="N1302" i="1"/>
  <c r="M1302" i="1"/>
  <c r="O1301" i="1"/>
  <c r="O1301" i="1" a="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c r="O1295" i="1" a="1"/>
  <c r="N1295" i="1"/>
  <c r="M1295" i="1"/>
  <c r="O1294" i="1"/>
  <c r="O1294" i="1" a="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c r="O1288" i="1" a="1"/>
  <c r="N1288" i="1"/>
  <c r="M1288" i="1"/>
  <c r="O1287" i="1"/>
  <c r="O1287" i="1" a="1"/>
  <c r="N1287" i="1"/>
  <c r="M1287" i="1"/>
  <c r="O1286" i="1" a="1"/>
  <c r="O1286" i="1" s="1"/>
  <c r="N1286" i="1"/>
  <c r="M1286" i="1"/>
  <c r="O1285" i="1" a="1"/>
  <c r="O1285" i="1" s="1"/>
  <c r="N1285" i="1"/>
  <c r="M1285" i="1"/>
  <c r="O1284" i="1"/>
  <c r="O1284" i="1" a="1"/>
  <c r="N1284" i="1"/>
  <c r="M1284" i="1"/>
  <c r="O1283" i="1" a="1"/>
  <c r="O1283" i="1" s="1"/>
  <c r="N1283" i="1"/>
  <c r="M1283" i="1"/>
  <c r="O1282" i="1" a="1"/>
  <c r="O1282" i="1" s="1"/>
  <c r="N1282" i="1"/>
  <c r="M1282" i="1"/>
  <c r="O1281" i="1"/>
  <c r="O1281" i="1" a="1"/>
  <c r="N1281" i="1"/>
  <c r="M1281" i="1"/>
  <c r="O1280" i="1"/>
  <c r="O1280" i="1" a="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c r="O1274" i="1" a="1"/>
  <c r="N1274" i="1"/>
  <c r="M1274" i="1"/>
  <c r="O1273" i="1"/>
  <c r="O1273" i="1" a="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c r="O1267" i="1" a="1"/>
  <c r="N1267" i="1"/>
  <c r="M1267" i="1"/>
  <c r="O1266" i="1"/>
  <c r="O1266" i="1" a="1"/>
  <c r="N1266" i="1"/>
  <c r="M1266" i="1"/>
  <c r="O1265" i="1" a="1"/>
  <c r="O1265" i="1" s="1"/>
  <c r="N1265" i="1"/>
  <c r="M1265" i="1"/>
  <c r="O1264" i="1" a="1"/>
  <c r="O1264" i="1" s="1"/>
  <c r="N1264" i="1"/>
  <c r="M1264" i="1"/>
  <c r="O1263" i="1"/>
  <c r="O1263" i="1" a="1"/>
  <c r="N1263" i="1"/>
  <c r="M1263" i="1"/>
  <c r="O1262" i="1" a="1"/>
  <c r="O1262" i="1" s="1"/>
  <c r="N1262" i="1"/>
  <c r="M1262" i="1"/>
  <c r="O1261" i="1" a="1"/>
  <c r="O1261" i="1" s="1"/>
  <c r="N1261" i="1"/>
  <c r="M1261" i="1"/>
  <c r="O1260" i="1"/>
  <c r="O1260" i="1" a="1"/>
  <c r="N1260" i="1"/>
  <c r="M1260" i="1"/>
  <c r="O1259" i="1"/>
  <c r="O1259" i="1" a="1"/>
  <c r="N1259" i="1"/>
  <c r="M1259" i="1"/>
  <c r="O1258" i="1" a="1"/>
  <c r="O1258" i="1" s="1"/>
  <c r="N1258" i="1"/>
  <c r="M1258" i="1"/>
  <c r="O1257" i="1" a="1"/>
  <c r="O1257" i="1" s="1"/>
  <c r="N1257" i="1"/>
  <c r="M1257" i="1"/>
  <c r="O1256" i="1" a="1"/>
  <c r="O1256" i="1" s="1"/>
  <c r="N1256" i="1"/>
  <c r="M1256" i="1"/>
  <c r="O1255" i="1"/>
  <c r="O1255" i="1" a="1"/>
  <c r="N1255" i="1"/>
  <c r="M1255" i="1"/>
  <c r="O1254" i="1" a="1"/>
  <c r="O1254" i="1" s="1"/>
  <c r="N1254" i="1"/>
  <c r="M1254" i="1"/>
  <c r="O1253" i="1"/>
  <c r="O1253" i="1" a="1"/>
  <c r="N1253" i="1"/>
  <c r="M1253" i="1"/>
  <c r="O1252" i="1"/>
  <c r="O1252" i="1" a="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c r="O1246" i="1" a="1"/>
  <c r="N1246" i="1"/>
  <c r="M1246" i="1"/>
  <c r="O1245" i="1"/>
  <c r="O1245" i="1" a="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c r="O1239" i="1" a="1"/>
  <c r="N1239" i="1"/>
  <c r="M1239" i="1"/>
  <c r="O1238" i="1"/>
  <c r="O1238" i="1" a="1"/>
  <c r="N1238" i="1"/>
  <c r="M1238" i="1"/>
  <c r="O1237" i="1" a="1"/>
  <c r="O1237" i="1" s="1"/>
  <c r="N1237" i="1"/>
  <c r="M1237" i="1"/>
  <c r="O1236" i="1" a="1"/>
  <c r="O1236" i="1" s="1"/>
  <c r="N1236" i="1"/>
  <c r="M1236" i="1"/>
  <c r="O1235" i="1" a="1"/>
  <c r="O1235" i="1" s="1"/>
  <c r="N1235" i="1"/>
  <c r="M1235" i="1"/>
  <c r="O1234" i="1" a="1"/>
  <c r="O1234" i="1" s="1"/>
  <c r="N1234" i="1"/>
  <c r="M1234" i="1"/>
  <c r="O1233" i="1"/>
  <c r="O1233" i="1" a="1"/>
  <c r="N1233" i="1"/>
  <c r="M1233" i="1"/>
  <c r="O1232" i="1"/>
  <c r="O1232" i="1" a="1"/>
  <c r="N1232" i="1"/>
  <c r="M1232" i="1"/>
  <c r="O1231" i="1"/>
  <c r="O1231" i="1" a="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c r="O1225" i="1" a="1"/>
  <c r="N1225" i="1"/>
  <c r="M1225" i="1"/>
  <c r="O1224" i="1"/>
  <c r="O1224" i="1" a="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c r="O1218" i="1" a="1"/>
  <c r="N1218" i="1"/>
  <c r="M1218" i="1"/>
  <c r="O1217" i="1"/>
  <c r="O1217" i="1" a="1"/>
  <c r="N1217" i="1"/>
  <c r="M1217" i="1"/>
  <c r="O1216" i="1" a="1"/>
  <c r="O1216" i="1" s="1"/>
  <c r="N1216" i="1"/>
  <c r="M1216" i="1"/>
  <c r="O1215" i="1" a="1"/>
  <c r="O1215" i="1" s="1"/>
  <c r="N1215" i="1"/>
  <c r="M1215" i="1"/>
  <c r="O1214" i="1" a="1"/>
  <c r="O1214" i="1" s="1"/>
  <c r="N1214" i="1"/>
  <c r="M1214" i="1"/>
  <c r="O1213" i="1"/>
  <c r="O1213" i="1" a="1"/>
  <c r="N1213" i="1"/>
  <c r="M1213" i="1"/>
  <c r="O1212" i="1" a="1"/>
  <c r="O1212" i="1" s="1"/>
  <c r="N1212" i="1"/>
  <c r="M1212" i="1"/>
  <c r="O1211" i="1"/>
  <c r="O1211" i="1" a="1"/>
  <c r="N1211" i="1"/>
  <c r="M1211" i="1"/>
  <c r="O1210" i="1"/>
  <c r="O1210" i="1" a="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c r="O1204" i="1" a="1"/>
  <c r="N1204" i="1"/>
  <c r="M1204" i="1"/>
  <c r="O1203" i="1"/>
  <c r="O1203" i="1" a="1"/>
  <c r="N1203" i="1"/>
  <c r="M1203" i="1"/>
  <c r="O1202" i="1" a="1"/>
  <c r="O1202" i="1" s="1"/>
  <c r="N1202" i="1"/>
  <c r="M1202" i="1"/>
  <c r="O1201" i="1" a="1"/>
  <c r="O1201" i="1" s="1"/>
  <c r="N1201" i="1"/>
  <c r="M1201" i="1"/>
  <c r="O1200" i="1" a="1"/>
  <c r="O1200" i="1" s="1"/>
  <c r="N1200" i="1"/>
  <c r="M1200" i="1"/>
  <c r="O1199" i="1" a="1"/>
  <c r="O1199" i="1" s="1"/>
  <c r="N1199" i="1"/>
  <c r="M1199" i="1"/>
  <c r="O1198" i="1"/>
  <c r="O1198" i="1" a="1"/>
  <c r="N1198" i="1"/>
  <c r="M1198" i="1"/>
  <c r="O1197" i="1"/>
  <c r="O1197" i="1" a="1"/>
  <c r="N1197" i="1"/>
  <c r="M1197" i="1"/>
  <c r="O1196" i="1"/>
  <c r="O1196" i="1" a="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c r="O1190" i="1" a="1"/>
  <c r="N1190" i="1"/>
  <c r="M1190" i="1"/>
  <c r="O1189" i="1"/>
  <c r="O1189" i="1" a="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c r="O1183" i="1" a="1"/>
  <c r="N1183" i="1"/>
  <c r="M1183" i="1"/>
  <c r="O1182" i="1"/>
  <c r="O1182" i="1" a="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c r="O1176" i="1" a="1"/>
  <c r="N1176" i="1"/>
  <c r="M1176" i="1"/>
  <c r="O1175" i="1"/>
  <c r="O1175" i="1" a="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c r="O1169" i="1" a="1"/>
  <c r="N1169" i="1"/>
  <c r="M1169" i="1"/>
  <c r="O1168" i="1"/>
  <c r="O1168" i="1" a="1"/>
  <c r="N1168" i="1"/>
  <c r="M1168" i="1"/>
  <c r="O1167" i="1" a="1"/>
  <c r="O1167" i="1" s="1"/>
  <c r="N1167" i="1"/>
  <c r="M1167" i="1"/>
  <c r="O1166" i="1" a="1"/>
  <c r="O1166" i="1" s="1"/>
  <c r="N1166" i="1"/>
  <c r="M1166" i="1"/>
  <c r="O1165" i="1"/>
  <c r="O1165" i="1" a="1"/>
  <c r="N1165" i="1"/>
  <c r="M1165" i="1"/>
  <c r="O1164" i="1" a="1"/>
  <c r="O1164" i="1" s="1"/>
  <c r="N1164" i="1"/>
  <c r="M1164" i="1"/>
  <c r="O1163" i="1" a="1"/>
  <c r="O1163" i="1" s="1"/>
  <c r="N1163" i="1"/>
  <c r="M1163" i="1"/>
  <c r="O1162" i="1"/>
  <c r="O1162" i="1" a="1"/>
  <c r="N1162" i="1"/>
  <c r="M1162" i="1"/>
  <c r="O1161" i="1"/>
  <c r="O1161" i="1" a="1"/>
  <c r="N1161" i="1"/>
  <c r="M1161" i="1"/>
  <c r="O1160" i="1" a="1"/>
  <c r="O1160" i="1" s="1"/>
  <c r="N1160" i="1"/>
  <c r="M1160" i="1"/>
  <c r="O1159" i="1" a="1"/>
  <c r="O1159" i="1" s="1"/>
  <c r="N1159" i="1"/>
  <c r="M1159" i="1"/>
  <c r="O1158" i="1" a="1"/>
  <c r="O1158" i="1" s="1"/>
  <c r="N1158" i="1"/>
  <c r="M1158" i="1"/>
  <c r="O1157" i="1"/>
  <c r="O1157" i="1" a="1"/>
  <c r="N1157" i="1"/>
  <c r="M1157" i="1"/>
  <c r="O1156" i="1" a="1"/>
  <c r="O1156" i="1" s="1"/>
  <c r="N1156" i="1"/>
  <c r="M1156" i="1"/>
  <c r="O1155" i="1"/>
  <c r="O1155" i="1" a="1"/>
  <c r="N1155" i="1"/>
  <c r="M1155" i="1"/>
  <c r="O1154" i="1"/>
  <c r="O1154" i="1" a="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c r="O1148" i="1" a="1"/>
  <c r="N1148" i="1"/>
  <c r="M1148" i="1"/>
  <c r="O1147" i="1"/>
  <c r="O1147" i="1" a="1"/>
  <c r="N1147" i="1"/>
  <c r="M1147" i="1"/>
  <c r="O1146" i="1" a="1"/>
  <c r="O1146" i="1" s="1"/>
  <c r="N1146" i="1"/>
  <c r="M1146" i="1"/>
  <c r="O1145" i="1" a="1"/>
  <c r="O1145" i="1" s="1"/>
  <c r="N1145" i="1"/>
  <c r="M1145" i="1"/>
  <c r="O1144" i="1" a="1"/>
  <c r="O1144" i="1" s="1"/>
  <c r="N1144" i="1"/>
  <c r="M1144" i="1"/>
  <c r="O1143" i="1" a="1"/>
  <c r="O1143" i="1" s="1"/>
  <c r="N1143" i="1"/>
  <c r="M1143" i="1"/>
  <c r="O1142" i="1"/>
  <c r="O1142" i="1" a="1"/>
  <c r="N1142" i="1"/>
  <c r="M1142" i="1"/>
  <c r="O1141" i="1"/>
  <c r="O1141" i="1" a="1"/>
  <c r="N1141" i="1"/>
  <c r="M1141" i="1"/>
  <c r="O1140" i="1"/>
  <c r="O1140" i="1" a="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c r="O1134" i="1" a="1"/>
  <c r="N1134" i="1"/>
  <c r="M1134" i="1"/>
  <c r="O1133" i="1"/>
  <c r="O1133" i="1" a="1"/>
  <c r="N1133" i="1"/>
  <c r="M1133" i="1"/>
  <c r="O1132" i="1" a="1"/>
  <c r="O1132" i="1" s="1"/>
  <c r="N1132" i="1"/>
  <c r="M1132" i="1"/>
  <c r="O1131" i="1" a="1"/>
  <c r="O1131" i="1" s="1"/>
  <c r="N1131" i="1"/>
  <c r="M1131" i="1"/>
  <c r="O1130" i="1"/>
  <c r="O1130" i="1" a="1"/>
  <c r="N1130" i="1"/>
  <c r="M1130" i="1"/>
  <c r="O1129" i="1" a="1"/>
  <c r="O1129" i="1" s="1"/>
  <c r="N1129" i="1"/>
  <c r="M1129" i="1"/>
  <c r="O1128" i="1" a="1"/>
  <c r="O1128" i="1" s="1"/>
  <c r="N1128" i="1"/>
  <c r="M1128" i="1"/>
  <c r="O1127" i="1"/>
  <c r="O1127" i="1" a="1"/>
  <c r="N1127" i="1"/>
  <c r="M1127" i="1"/>
  <c r="O1126" i="1"/>
  <c r="O1126" i="1" a="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c r="O1120" i="1" a="1"/>
  <c r="N1120" i="1"/>
  <c r="M1120" i="1"/>
  <c r="O1119" i="1"/>
  <c r="O1119" i="1" a="1"/>
  <c r="N1119" i="1"/>
  <c r="M1119" i="1"/>
  <c r="O1118" i="1" a="1"/>
  <c r="O1118" i="1" s="1"/>
  <c r="N1118" i="1"/>
  <c r="M1118" i="1"/>
  <c r="O1117" i="1" a="1"/>
  <c r="O1117" i="1" s="1"/>
  <c r="N1117" i="1"/>
  <c r="M1117" i="1"/>
  <c r="O1116" i="1" a="1"/>
  <c r="O1116" i="1" s="1"/>
  <c r="N1116" i="1"/>
  <c r="M1116" i="1"/>
  <c r="O1115" i="1"/>
  <c r="O1115" i="1" a="1"/>
  <c r="N1115" i="1"/>
  <c r="M1115" i="1"/>
  <c r="O1114" i="1"/>
  <c r="O1114" i="1" a="1"/>
  <c r="N1114" i="1"/>
  <c r="M1114" i="1"/>
  <c r="O1113" i="1"/>
  <c r="O1113" i="1" a="1"/>
  <c r="N1113" i="1"/>
  <c r="M1113" i="1"/>
  <c r="O1112" i="1"/>
  <c r="O1112" i="1" a="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c r="O1106" i="1" a="1"/>
  <c r="N1106" i="1"/>
  <c r="M1106" i="1"/>
  <c r="O1105" i="1"/>
  <c r="O1105" i="1" a="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c r="O1099" i="1" a="1"/>
  <c r="N1099" i="1"/>
  <c r="M1099" i="1"/>
  <c r="O1098" i="1"/>
  <c r="O1098" i="1" a="1"/>
  <c r="N1098" i="1"/>
  <c r="M1098" i="1"/>
  <c r="O1097" i="1" a="1"/>
  <c r="O1097" i="1" s="1"/>
  <c r="N1097" i="1"/>
  <c r="M1097" i="1"/>
  <c r="O1096" i="1" a="1"/>
  <c r="O1096" i="1" s="1"/>
  <c r="N1096" i="1"/>
  <c r="M1096" i="1"/>
  <c r="O1095" i="1" a="1"/>
  <c r="O1095" i="1" s="1"/>
  <c r="N1095" i="1"/>
  <c r="M1095" i="1"/>
  <c r="O1094" i="1"/>
  <c r="O1094" i="1" a="1"/>
  <c r="N1094" i="1"/>
  <c r="M1094" i="1"/>
  <c r="O1093" i="1" a="1"/>
  <c r="O1093" i="1" s="1"/>
  <c r="N1093" i="1"/>
  <c r="M1093" i="1"/>
  <c r="O1092" i="1"/>
  <c r="O1092" i="1" a="1"/>
  <c r="N1092" i="1"/>
  <c r="M1092" i="1"/>
  <c r="O1091" i="1"/>
  <c r="O1091" i="1" a="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c r="O1085" i="1" a="1"/>
  <c r="N1085" i="1"/>
  <c r="M1085" i="1"/>
  <c r="O1084" i="1"/>
  <c r="O1084" i="1" a="1"/>
  <c r="N1084" i="1"/>
  <c r="M1084" i="1"/>
  <c r="O1083" i="1" a="1"/>
  <c r="O1083" i="1" s="1"/>
  <c r="N1083" i="1"/>
  <c r="M1083" i="1"/>
  <c r="O1082" i="1" a="1"/>
  <c r="O1082" i="1" s="1"/>
  <c r="N1082" i="1"/>
  <c r="M1082" i="1"/>
  <c r="O1081" i="1" a="1"/>
  <c r="O1081" i="1" s="1"/>
  <c r="N1081" i="1"/>
  <c r="M1081" i="1"/>
  <c r="O1080" i="1" a="1"/>
  <c r="O1080" i="1" s="1"/>
  <c r="N1080" i="1"/>
  <c r="M1080" i="1"/>
  <c r="O1079" i="1"/>
  <c r="O1079" i="1" a="1"/>
  <c r="N1079" i="1"/>
  <c r="M1079" i="1"/>
  <c r="O1078" i="1"/>
  <c r="O1078" i="1" a="1"/>
  <c r="N1078" i="1"/>
  <c r="M1078" i="1"/>
  <c r="O1077" i="1"/>
  <c r="O1077" i="1" a="1"/>
  <c r="N1077" i="1"/>
  <c r="M1077" i="1"/>
  <c r="O1076" i="1" a="1"/>
  <c r="O1076" i="1" s="1"/>
  <c r="N1076" i="1"/>
  <c r="M1076" i="1"/>
  <c r="O1075" i="1" a="1"/>
  <c r="O1075" i="1" s="1"/>
  <c r="N1075" i="1"/>
  <c r="M1075" i="1"/>
  <c r="O1074" i="1" a="1"/>
  <c r="O1074" i="1" s="1"/>
  <c r="N1074" i="1"/>
  <c r="M1074" i="1"/>
  <c r="O1073" i="1"/>
  <c r="O1073" i="1" a="1"/>
  <c r="N1073" i="1"/>
  <c r="M1073" i="1"/>
  <c r="O1072" i="1" a="1"/>
  <c r="O1072" i="1" s="1"/>
  <c r="N1072" i="1"/>
  <c r="M1072" i="1"/>
  <c r="O1071" i="1"/>
  <c r="O1071" i="1" a="1"/>
  <c r="N1071" i="1"/>
  <c r="M1071" i="1"/>
  <c r="O1070" i="1"/>
  <c r="O1070" i="1" a="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c r="O1064" i="1" a="1"/>
  <c r="N1064" i="1"/>
  <c r="M1064" i="1"/>
  <c r="O1063" i="1"/>
  <c r="O1063" i="1" a="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c r="O1056" i="1" a="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c r="O1049" i="1" a="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c r="O1042" i="1" a="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c r="O1035" i="1" a="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c r="O1028" i="1" a="1"/>
  <c r="N1028" i="1"/>
  <c r="M1028" i="1"/>
  <c r="O1027" i="1" a="1"/>
  <c r="O1027" i="1" s="1"/>
  <c r="N1027" i="1"/>
  <c r="M1027" i="1"/>
  <c r="O1026" i="1" a="1"/>
  <c r="O1026" i="1" s="1"/>
  <c r="N1026" i="1"/>
  <c r="M1026" i="1"/>
  <c r="O1025" i="1"/>
  <c r="O1025" i="1" a="1"/>
  <c r="N1025" i="1"/>
  <c r="M1025" i="1"/>
  <c r="O1024" i="1" a="1"/>
  <c r="O1024" i="1" s="1"/>
  <c r="N1024" i="1"/>
  <c r="M1024" i="1"/>
  <c r="O1023" i="1" a="1"/>
  <c r="O1023" i="1" s="1"/>
  <c r="N1023" i="1"/>
  <c r="M1023" i="1"/>
  <c r="O1022" i="1" a="1"/>
  <c r="O1022" i="1" s="1"/>
  <c r="N1022" i="1"/>
  <c r="M1022" i="1"/>
  <c r="O1021" i="1"/>
  <c r="O1021" i="1" a="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c r="O1014" i="1" a="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c r="O1007" i="1" a="1"/>
  <c r="N1007" i="1"/>
  <c r="M1007" i="1"/>
  <c r="O1006" i="1" a="1"/>
  <c r="O1006" i="1" s="1"/>
  <c r="N1006" i="1"/>
  <c r="M1006" i="1"/>
  <c r="O1005" i="1" a="1"/>
  <c r="O1005" i="1" s="1"/>
  <c r="N1005" i="1"/>
  <c r="M1005" i="1"/>
  <c r="O1004" i="1" a="1"/>
  <c r="O1004" i="1" s="1"/>
  <c r="N1004" i="1"/>
  <c r="M1004" i="1"/>
  <c r="O1003" i="1" a="1"/>
  <c r="O1003" i="1" s="1"/>
  <c r="N1003" i="1"/>
  <c r="M1003" i="1"/>
  <c r="O1002" i="1"/>
  <c r="O1002" i="1" a="1"/>
  <c r="N1002" i="1"/>
  <c r="M1002" i="1"/>
  <c r="O1001" i="1" a="1"/>
  <c r="O1001" i="1" s="1"/>
  <c r="N1001" i="1"/>
  <c r="M1001" i="1"/>
  <c r="O1000" i="1"/>
  <c r="O1000" i="1" a="1"/>
  <c r="N1000" i="1"/>
  <c r="M1000" i="1"/>
  <c r="O999" i="1" a="1"/>
  <c r="O999" i="1" s="1"/>
  <c r="N999" i="1"/>
  <c r="M999" i="1"/>
  <c r="O998" i="1" a="1"/>
  <c r="O998" i="1" s="1"/>
  <c r="N998" i="1"/>
  <c r="M998" i="1"/>
  <c r="O997" i="1" a="1"/>
  <c r="O997" i="1" s="1"/>
  <c r="N997" i="1"/>
  <c r="M997" i="1"/>
  <c r="O996" i="1" a="1"/>
  <c r="O996" i="1" s="1"/>
  <c r="N996" i="1"/>
  <c r="M996" i="1"/>
  <c r="O995" i="1"/>
  <c r="O995" i="1" a="1"/>
  <c r="N995" i="1"/>
  <c r="M995" i="1"/>
  <c r="O994" i="1" a="1"/>
  <c r="O994" i="1" s="1"/>
  <c r="N994" i="1"/>
  <c r="M994" i="1"/>
  <c r="O993" i="1"/>
  <c r="O993" i="1" a="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c r="O986" i="1" a="1"/>
  <c r="N986" i="1"/>
  <c r="M986" i="1"/>
  <c r="O985" i="1" a="1"/>
  <c r="O985" i="1" s="1"/>
  <c r="N985" i="1"/>
  <c r="M985" i="1"/>
  <c r="O984" i="1" a="1"/>
  <c r="O984" i="1" s="1"/>
  <c r="N984" i="1"/>
  <c r="M984" i="1"/>
  <c r="O983" i="1" a="1"/>
  <c r="O983" i="1" s="1"/>
  <c r="N983" i="1"/>
  <c r="M983" i="1"/>
  <c r="O982" i="1" a="1"/>
  <c r="O982" i="1" s="1"/>
  <c r="N982" i="1"/>
  <c r="M982" i="1"/>
  <c r="O981" i="1"/>
  <c r="O981" i="1" a="1"/>
  <c r="N981" i="1"/>
  <c r="M981" i="1"/>
  <c r="O980" i="1" a="1"/>
  <c r="O980" i="1" s="1"/>
  <c r="N980" i="1"/>
  <c r="M980" i="1"/>
  <c r="O979" i="1"/>
  <c r="O979" i="1" a="1"/>
  <c r="N979" i="1"/>
  <c r="M979" i="1"/>
  <c r="O978" i="1" a="1"/>
  <c r="O978" i="1" s="1"/>
  <c r="N978" i="1"/>
  <c r="M978" i="1"/>
  <c r="O977" i="1" a="1"/>
  <c r="O977" i="1" s="1"/>
  <c r="N977" i="1"/>
  <c r="M977" i="1"/>
  <c r="O976" i="1"/>
  <c r="O976" i="1" a="1"/>
  <c r="N976" i="1"/>
  <c r="M976" i="1"/>
  <c r="O975" i="1" a="1"/>
  <c r="O975" i="1" s="1"/>
  <c r="N975" i="1"/>
  <c r="M975" i="1"/>
  <c r="O974" i="1" a="1"/>
  <c r="O974" i="1" s="1"/>
  <c r="N974" i="1"/>
  <c r="M974" i="1"/>
  <c r="O973" i="1" a="1"/>
  <c r="O973" i="1" s="1"/>
  <c r="N973" i="1"/>
  <c r="M973" i="1"/>
  <c r="O972" i="1"/>
  <c r="O972" i="1" a="1"/>
  <c r="N972" i="1"/>
  <c r="M972" i="1"/>
  <c r="O971" i="1" a="1"/>
  <c r="O971" i="1" s="1"/>
  <c r="N971" i="1"/>
  <c r="M971" i="1"/>
  <c r="O970" i="1" a="1"/>
  <c r="O970" i="1" s="1"/>
  <c r="N970" i="1"/>
  <c r="M970" i="1"/>
  <c r="O969" i="1" a="1"/>
  <c r="O969" i="1" s="1"/>
  <c r="N969" i="1"/>
  <c r="M969" i="1"/>
  <c r="O968" i="1"/>
  <c r="O968" i="1" a="1"/>
  <c r="N968" i="1"/>
  <c r="M968" i="1"/>
  <c r="O967" i="1" a="1"/>
  <c r="O967" i="1" s="1"/>
  <c r="N967" i="1"/>
  <c r="M967" i="1"/>
  <c r="O966" i="1" a="1"/>
  <c r="O966" i="1" s="1"/>
  <c r="N966" i="1"/>
  <c r="M966" i="1"/>
  <c r="O965" i="1"/>
  <c r="O965" i="1" a="1"/>
  <c r="N965" i="1"/>
  <c r="M965" i="1"/>
  <c r="O964" i="1" a="1"/>
  <c r="O964" i="1" s="1"/>
  <c r="N964" i="1"/>
  <c r="M964" i="1"/>
  <c r="O963" i="1" a="1"/>
  <c r="O963" i="1" s="1"/>
  <c r="N963" i="1"/>
  <c r="M963" i="1"/>
  <c r="O962" i="1" a="1"/>
  <c r="O962" i="1" s="1"/>
  <c r="N962" i="1"/>
  <c r="M962" i="1"/>
  <c r="O961" i="1" a="1"/>
  <c r="O961" i="1" s="1"/>
  <c r="N961" i="1"/>
  <c r="M961" i="1"/>
  <c r="O960" i="1"/>
  <c r="O960" i="1" a="1"/>
  <c r="N960" i="1"/>
  <c r="M960" i="1"/>
  <c r="O959" i="1" a="1"/>
  <c r="O959" i="1" s="1"/>
  <c r="N959" i="1"/>
  <c r="M959" i="1"/>
  <c r="O958" i="1"/>
  <c r="O958" i="1" a="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c r="O951" i="1" a="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c r="O944" i="1" a="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c r="O937" i="1" a="1"/>
  <c r="N937" i="1"/>
  <c r="M937" i="1"/>
  <c r="O936" i="1" a="1"/>
  <c r="O936" i="1" s="1"/>
  <c r="N936" i="1"/>
  <c r="M936" i="1"/>
  <c r="O935" i="1" a="1"/>
  <c r="O935" i="1" s="1"/>
  <c r="N935" i="1"/>
  <c r="M935" i="1"/>
  <c r="O934" i="1" a="1"/>
  <c r="O934" i="1" s="1"/>
  <c r="N934" i="1"/>
  <c r="M934" i="1"/>
  <c r="O933" i="1"/>
  <c r="O933" i="1" a="1"/>
  <c r="N933" i="1"/>
  <c r="M933" i="1"/>
  <c r="O932" i="1" a="1"/>
  <c r="O932" i="1" s="1"/>
  <c r="N932" i="1"/>
  <c r="M932" i="1"/>
  <c r="O931" i="1" a="1"/>
  <c r="O931" i="1" s="1"/>
  <c r="N931" i="1"/>
  <c r="M931" i="1"/>
  <c r="O930" i="1"/>
  <c r="O930" i="1" a="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c r="O923" i="1" a="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c r="O916" i="1" a="1"/>
  <c r="N916" i="1"/>
  <c r="M916" i="1"/>
  <c r="O915" i="1" a="1"/>
  <c r="O915" i="1" s="1"/>
  <c r="N915" i="1"/>
  <c r="M915" i="1"/>
  <c r="O914" i="1" a="1"/>
  <c r="O914" i="1" s="1"/>
  <c r="N914" i="1"/>
  <c r="M914" i="1"/>
  <c r="O913" i="1" a="1"/>
  <c r="O913" i="1" s="1"/>
  <c r="N913" i="1"/>
  <c r="M913" i="1"/>
  <c r="O912" i="1"/>
  <c r="O912" i="1" a="1"/>
  <c r="N912" i="1"/>
  <c r="M912" i="1"/>
  <c r="O911" i="1" a="1"/>
  <c r="O911" i="1" s="1"/>
  <c r="N911" i="1"/>
  <c r="M911" i="1"/>
  <c r="O910" i="1" a="1"/>
  <c r="O910" i="1" s="1"/>
  <c r="N910" i="1"/>
  <c r="M910" i="1"/>
  <c r="O909" i="1"/>
  <c r="O909" i="1" a="1"/>
  <c r="N909" i="1"/>
  <c r="M909" i="1"/>
  <c r="O908" i="1" a="1"/>
  <c r="O908" i="1" s="1"/>
  <c r="N908" i="1"/>
  <c r="M908" i="1"/>
  <c r="O907" i="1"/>
  <c r="O907" i="1" a="1"/>
  <c r="N907" i="1"/>
  <c r="M907" i="1"/>
  <c r="O906" i="1" a="1"/>
  <c r="O906" i="1" s="1"/>
  <c r="N906" i="1"/>
  <c r="M906" i="1"/>
  <c r="O905" i="1" a="1"/>
  <c r="O905" i="1" s="1"/>
  <c r="N905" i="1"/>
  <c r="M905" i="1"/>
  <c r="O904" i="1"/>
  <c r="O904" i="1" a="1"/>
  <c r="N904" i="1"/>
  <c r="M904" i="1"/>
  <c r="O903" i="1"/>
  <c r="O903" i="1" a="1"/>
  <c r="N903" i="1"/>
  <c r="M903" i="1"/>
  <c r="O902" i="1"/>
  <c r="O902" i="1" a="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c r="O896" i="1" a="1"/>
  <c r="N896" i="1"/>
  <c r="M896" i="1"/>
  <c r="O895" i="1"/>
  <c r="O895" i="1" a="1"/>
  <c r="N895" i="1"/>
  <c r="M895" i="1"/>
  <c r="O894" i="1" a="1"/>
  <c r="O894" i="1" s="1"/>
  <c r="N894" i="1"/>
  <c r="M894" i="1"/>
  <c r="O893" i="1"/>
  <c r="O893" i="1" a="1"/>
  <c r="N893" i="1"/>
  <c r="M893" i="1"/>
  <c r="O892" i="1" a="1"/>
  <c r="O892" i="1" s="1"/>
  <c r="N892" i="1"/>
  <c r="M892" i="1"/>
  <c r="O891" i="1"/>
  <c r="O891" i="1" a="1"/>
  <c r="N891" i="1"/>
  <c r="M891" i="1"/>
  <c r="O890" i="1"/>
  <c r="O890" i="1" a="1"/>
  <c r="N890" i="1"/>
  <c r="M890" i="1"/>
  <c r="O889" i="1" a="1"/>
  <c r="O889" i="1" s="1"/>
  <c r="N889" i="1"/>
  <c r="M889" i="1"/>
  <c r="O888" i="1"/>
  <c r="O888" i="1" a="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c r="O881" i="1" a="1"/>
  <c r="N881" i="1"/>
  <c r="M881" i="1"/>
  <c r="O880" i="1" a="1"/>
  <c r="O880" i="1" s="1"/>
  <c r="N880" i="1"/>
  <c r="M880" i="1"/>
  <c r="O879" i="1" a="1"/>
  <c r="O879" i="1" s="1"/>
  <c r="N879" i="1"/>
  <c r="M879" i="1"/>
  <c r="O878" i="1"/>
  <c r="O878" i="1" a="1"/>
  <c r="N878" i="1"/>
  <c r="M878" i="1"/>
  <c r="O877" i="1" a="1"/>
  <c r="O877" i="1" s="1"/>
  <c r="N877" i="1"/>
  <c r="M877" i="1"/>
  <c r="O876" i="1" a="1"/>
  <c r="O876" i="1" s="1"/>
  <c r="N876" i="1"/>
  <c r="M876" i="1"/>
  <c r="O875" i="1"/>
  <c r="O875" i="1" a="1"/>
  <c r="N875" i="1"/>
  <c r="M875" i="1"/>
  <c r="O874" i="1"/>
  <c r="O874" i="1" a="1"/>
  <c r="N874" i="1"/>
  <c r="M874" i="1"/>
  <c r="O873" i="1" a="1"/>
  <c r="O873" i="1" s="1"/>
  <c r="N873" i="1"/>
  <c r="M873" i="1"/>
  <c r="O872" i="1" a="1"/>
  <c r="O872" i="1" s="1"/>
  <c r="N872" i="1"/>
  <c r="M872" i="1"/>
  <c r="O871" i="1"/>
  <c r="O871" i="1" a="1"/>
  <c r="N871" i="1"/>
  <c r="M871" i="1"/>
  <c r="O870" i="1" a="1"/>
  <c r="O870" i="1" s="1"/>
  <c r="N870" i="1"/>
  <c r="M870" i="1"/>
  <c r="O869" i="1" a="1"/>
  <c r="O869" i="1" s="1"/>
  <c r="N869" i="1"/>
  <c r="M869" i="1"/>
  <c r="O868" i="1"/>
  <c r="O868" i="1" a="1"/>
  <c r="N868" i="1"/>
  <c r="M868" i="1"/>
  <c r="O867" i="1"/>
  <c r="O867" i="1" a="1"/>
  <c r="N867" i="1"/>
  <c r="M867" i="1"/>
  <c r="O866" i="1" a="1"/>
  <c r="O866" i="1" s="1"/>
  <c r="N866" i="1"/>
  <c r="M866" i="1"/>
  <c r="O865" i="1"/>
  <c r="O865" i="1" a="1"/>
  <c r="N865" i="1"/>
  <c r="M865" i="1"/>
  <c r="O864" i="1"/>
  <c r="O864" i="1" a="1"/>
  <c r="N864" i="1"/>
  <c r="M864" i="1"/>
  <c r="O863" i="1" a="1"/>
  <c r="O863" i="1" s="1"/>
  <c r="N863" i="1"/>
  <c r="M863" i="1"/>
  <c r="O862" i="1"/>
  <c r="O862" i="1" a="1"/>
  <c r="N862" i="1"/>
  <c r="M862" i="1"/>
  <c r="O861" i="1" a="1"/>
  <c r="O861" i="1" s="1"/>
  <c r="N861" i="1"/>
  <c r="M861" i="1"/>
  <c r="O860" i="1"/>
  <c r="O860" i="1" a="1"/>
  <c r="N860" i="1"/>
  <c r="M860" i="1"/>
  <c r="O859" i="1" a="1"/>
  <c r="O859" i="1" s="1"/>
  <c r="N859" i="1"/>
  <c r="M859" i="1"/>
  <c r="O858" i="1"/>
  <c r="O858" i="1" a="1"/>
  <c r="N858" i="1"/>
  <c r="M858" i="1"/>
  <c r="O857" i="1" a="1"/>
  <c r="O857" i="1" s="1"/>
  <c r="N857" i="1"/>
  <c r="M857" i="1"/>
  <c r="O856" i="1" a="1"/>
  <c r="O856" i="1" s="1"/>
  <c r="N856" i="1"/>
  <c r="M856" i="1"/>
  <c r="O855" i="1"/>
  <c r="O855" i="1" a="1"/>
  <c r="N855" i="1"/>
  <c r="M855" i="1"/>
  <c r="O854" i="1" a="1"/>
  <c r="O854" i="1" s="1"/>
  <c r="N854" i="1"/>
  <c r="M854" i="1"/>
  <c r="O853" i="1"/>
  <c r="O853" i="1" a="1"/>
  <c r="N853" i="1"/>
  <c r="M853" i="1"/>
  <c r="O852" i="1" a="1"/>
  <c r="O852" i="1" s="1"/>
  <c r="N852" i="1"/>
  <c r="M852" i="1"/>
  <c r="O851" i="1" a="1"/>
  <c r="O851" i="1" s="1"/>
  <c r="N851" i="1"/>
  <c r="M851" i="1"/>
  <c r="O850" i="1" a="1"/>
  <c r="O850" i="1" s="1"/>
  <c r="N850" i="1"/>
  <c r="M850" i="1"/>
  <c r="O849" i="1"/>
  <c r="O849" i="1" a="1"/>
  <c r="N849" i="1"/>
  <c r="M849" i="1"/>
  <c r="O848" i="1" a="1"/>
  <c r="O848" i="1" s="1"/>
  <c r="N848" i="1"/>
  <c r="M848" i="1"/>
  <c r="O847" i="1" a="1"/>
  <c r="O847" i="1" s="1"/>
  <c r="N847" i="1"/>
  <c r="M847" i="1"/>
  <c r="O846" i="1"/>
  <c r="O846" i="1" a="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c r="O839" i="1" a="1"/>
  <c r="N839" i="1"/>
  <c r="M839" i="1"/>
  <c r="O838" i="1" a="1"/>
  <c r="O838" i="1" s="1"/>
  <c r="N838" i="1"/>
  <c r="M838" i="1"/>
  <c r="O837" i="1" a="1"/>
  <c r="O837" i="1" s="1"/>
  <c r="N837" i="1"/>
  <c r="M837" i="1"/>
  <c r="O836" i="1"/>
  <c r="O836" i="1" a="1"/>
  <c r="N836" i="1"/>
  <c r="M836" i="1"/>
  <c r="O835" i="1" a="1"/>
  <c r="O835" i="1" s="1"/>
  <c r="N835" i="1"/>
  <c r="M835" i="1"/>
  <c r="O834" i="1" a="1"/>
  <c r="O834" i="1" s="1"/>
  <c r="N834" i="1"/>
  <c r="M834" i="1"/>
  <c r="O833" i="1"/>
  <c r="O833" i="1" a="1"/>
  <c r="N833" i="1"/>
  <c r="M833" i="1"/>
  <c r="O832" i="1"/>
  <c r="O832" i="1" a="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c r="O825" i="1" a="1"/>
  <c r="N825" i="1"/>
  <c r="M825" i="1"/>
  <c r="O824" i="1" a="1"/>
  <c r="O824" i="1" s="1"/>
  <c r="N824" i="1"/>
  <c r="M824" i="1"/>
  <c r="O823" i="1"/>
  <c r="O823" i="1" a="1"/>
  <c r="N823" i="1"/>
  <c r="M823" i="1"/>
  <c r="O822" i="1" a="1"/>
  <c r="O822" i="1" s="1"/>
  <c r="N822" i="1"/>
  <c r="M822" i="1"/>
  <c r="O821" i="1"/>
  <c r="O821" i="1" a="1"/>
  <c r="N821" i="1"/>
  <c r="M821" i="1"/>
  <c r="O820" i="1"/>
  <c r="O820" i="1" a="1"/>
  <c r="N820" i="1"/>
  <c r="M820" i="1"/>
  <c r="O819" i="1" a="1"/>
  <c r="O819" i="1" s="1"/>
  <c r="N819" i="1"/>
  <c r="M819" i="1"/>
  <c r="O818" i="1"/>
  <c r="O818" i="1" a="1"/>
  <c r="N818" i="1"/>
  <c r="M818" i="1"/>
  <c r="O817" i="1" a="1"/>
  <c r="O817" i="1" s="1"/>
  <c r="N817" i="1"/>
  <c r="M817" i="1"/>
  <c r="O816" i="1"/>
  <c r="O816" i="1" a="1"/>
  <c r="N816" i="1"/>
  <c r="M816" i="1"/>
  <c r="O815" i="1" a="1"/>
  <c r="O815" i="1" s="1"/>
  <c r="N815" i="1"/>
  <c r="M815" i="1"/>
  <c r="O814" i="1"/>
  <c r="O814" i="1" a="1"/>
  <c r="N814" i="1"/>
  <c r="M814" i="1"/>
  <c r="O813" i="1"/>
  <c r="O813" i="1" a="1"/>
  <c r="N813" i="1"/>
  <c r="M813" i="1"/>
  <c r="O812" i="1" a="1"/>
  <c r="O812" i="1" s="1"/>
  <c r="N812" i="1"/>
  <c r="M812" i="1"/>
  <c r="O811" i="1"/>
  <c r="O811" i="1" a="1"/>
  <c r="N811" i="1"/>
  <c r="M811" i="1"/>
  <c r="O810" i="1" a="1"/>
  <c r="O810" i="1" s="1"/>
  <c r="N810" i="1"/>
  <c r="M810" i="1"/>
  <c r="O809" i="1"/>
  <c r="O809" i="1" a="1"/>
  <c r="N809" i="1"/>
  <c r="M809" i="1"/>
  <c r="O808" i="1" a="1"/>
  <c r="O808" i="1" s="1"/>
  <c r="N808" i="1"/>
  <c r="M808" i="1"/>
  <c r="O807" i="1" a="1"/>
  <c r="O807" i="1" s="1"/>
  <c r="N807" i="1"/>
  <c r="M807" i="1"/>
  <c r="O806" i="1" a="1"/>
  <c r="O806" i="1" s="1"/>
  <c r="N806" i="1"/>
  <c r="M806" i="1"/>
  <c r="O805" i="1" a="1"/>
  <c r="O805" i="1" s="1"/>
  <c r="N805" i="1"/>
  <c r="M805" i="1"/>
  <c r="O804" i="1"/>
  <c r="O804" i="1" a="1"/>
  <c r="N804" i="1"/>
  <c r="M804" i="1"/>
  <c r="O803" i="1" a="1"/>
  <c r="O803" i="1" s="1"/>
  <c r="N803" i="1"/>
  <c r="M803" i="1"/>
  <c r="O802" i="1" a="1"/>
  <c r="O802" i="1" s="1"/>
  <c r="N802" i="1"/>
  <c r="M802" i="1"/>
  <c r="O801" i="1" a="1"/>
  <c r="O801" i="1" s="1"/>
  <c r="N801" i="1"/>
  <c r="M801" i="1"/>
  <c r="O800" i="1"/>
  <c r="O800" i="1" a="1"/>
  <c r="N800" i="1"/>
  <c r="M800" i="1"/>
  <c r="O799" i="1" a="1"/>
  <c r="O799" i="1" s="1"/>
  <c r="N799" i="1"/>
  <c r="M799" i="1"/>
  <c r="O798" i="1" a="1"/>
  <c r="O798" i="1" s="1"/>
  <c r="N798" i="1"/>
  <c r="M798" i="1"/>
  <c r="O797" i="1"/>
  <c r="O797" i="1" a="1"/>
  <c r="N797" i="1"/>
  <c r="M797" i="1"/>
  <c r="O796" i="1" a="1"/>
  <c r="O796" i="1" s="1"/>
  <c r="N796" i="1"/>
  <c r="M796" i="1"/>
  <c r="O795" i="1"/>
  <c r="O795" i="1" a="1"/>
  <c r="N795" i="1"/>
  <c r="M795" i="1"/>
  <c r="O794" i="1"/>
  <c r="O794" i="1" a="1"/>
  <c r="N794" i="1"/>
  <c r="M794" i="1"/>
  <c r="O793" i="1" a="1"/>
  <c r="O793" i="1" s="1"/>
  <c r="N793" i="1"/>
  <c r="M793" i="1"/>
  <c r="O792" i="1" a="1"/>
  <c r="O792" i="1" s="1"/>
  <c r="N792" i="1"/>
  <c r="M792" i="1"/>
  <c r="O791" i="1"/>
  <c r="O791" i="1" a="1"/>
  <c r="N791" i="1"/>
  <c r="M791" i="1"/>
  <c r="O790" i="1"/>
  <c r="O790" i="1" a="1"/>
  <c r="N790" i="1"/>
  <c r="M790" i="1"/>
  <c r="O789" i="1" a="1"/>
  <c r="O789" i="1" s="1"/>
  <c r="N789" i="1"/>
  <c r="M789" i="1"/>
  <c r="O788" i="1" a="1"/>
  <c r="O788" i="1" s="1"/>
  <c r="N788" i="1"/>
  <c r="M788" i="1"/>
  <c r="O787" i="1" a="1"/>
  <c r="O787" i="1" s="1"/>
  <c r="N787" i="1"/>
  <c r="M787" i="1"/>
  <c r="O786" i="1" a="1"/>
  <c r="O786" i="1" s="1"/>
  <c r="N786" i="1"/>
  <c r="M786" i="1"/>
  <c r="O785" i="1"/>
  <c r="O785" i="1" a="1"/>
  <c r="N785" i="1"/>
  <c r="M785" i="1"/>
  <c r="O784" i="1" a="1"/>
  <c r="O784" i="1" s="1"/>
  <c r="N784" i="1"/>
  <c r="M784" i="1"/>
  <c r="O783" i="1"/>
  <c r="O783" i="1" a="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c r="O776" i="1" a="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c r="O770" i="1" a="1"/>
  <c r="N770" i="1"/>
  <c r="M770" i="1"/>
  <c r="O769" i="1"/>
  <c r="O769" i="1" a="1"/>
  <c r="N769" i="1"/>
  <c r="M769" i="1"/>
  <c r="O768" i="1" a="1"/>
  <c r="O768" i="1" s="1"/>
  <c r="N768" i="1"/>
  <c r="M768" i="1"/>
  <c r="O767" i="1"/>
  <c r="O767" i="1" a="1"/>
  <c r="N767" i="1"/>
  <c r="M767" i="1"/>
  <c r="O766" i="1"/>
  <c r="O766" i="1" a="1"/>
  <c r="N766" i="1"/>
  <c r="M766" i="1"/>
  <c r="O765" i="1"/>
  <c r="O765" i="1" a="1"/>
  <c r="N765" i="1"/>
  <c r="M765" i="1"/>
  <c r="O764" i="1"/>
  <c r="O764" i="1" a="1"/>
  <c r="N764" i="1"/>
  <c r="M764" i="1"/>
  <c r="O763" i="1" a="1"/>
  <c r="O763" i="1" s="1"/>
  <c r="N763" i="1"/>
  <c r="M763" i="1"/>
  <c r="O762" i="1"/>
  <c r="O762" i="1" a="1"/>
  <c r="N762" i="1"/>
  <c r="M762" i="1"/>
  <c r="O761" i="1" a="1"/>
  <c r="O761" i="1" s="1"/>
  <c r="N761" i="1"/>
  <c r="M761" i="1"/>
  <c r="O760" i="1" a="1"/>
  <c r="O760" i="1" s="1"/>
  <c r="N760" i="1"/>
  <c r="M760" i="1"/>
  <c r="O759" i="1" a="1"/>
  <c r="O759" i="1" s="1"/>
  <c r="N759" i="1"/>
  <c r="M759" i="1"/>
  <c r="O758" i="1"/>
  <c r="O758" i="1" a="1"/>
  <c r="N758" i="1"/>
  <c r="M758" i="1"/>
  <c r="O757" i="1" a="1"/>
  <c r="O757" i="1" s="1"/>
  <c r="N757" i="1"/>
  <c r="M757" i="1"/>
  <c r="O756" i="1" a="1"/>
  <c r="O756" i="1" s="1"/>
  <c r="N756" i="1"/>
  <c r="M756" i="1"/>
  <c r="O755" i="1"/>
  <c r="O755" i="1" a="1"/>
  <c r="N755" i="1"/>
  <c r="M755" i="1"/>
  <c r="O754" i="1" a="1"/>
  <c r="O754" i="1" s="1"/>
  <c r="N754" i="1"/>
  <c r="M754" i="1"/>
  <c r="O753" i="1"/>
  <c r="O753" i="1" a="1"/>
  <c r="N753" i="1"/>
  <c r="M753" i="1"/>
  <c r="O752" i="1"/>
  <c r="O752" i="1" a="1"/>
  <c r="N752" i="1"/>
  <c r="M752" i="1"/>
  <c r="O751" i="1" a="1"/>
  <c r="O751" i="1" s="1"/>
  <c r="N751" i="1"/>
  <c r="M751" i="1"/>
  <c r="O750" i="1" a="1"/>
  <c r="O750" i="1" s="1"/>
  <c r="N750" i="1"/>
  <c r="M750" i="1"/>
  <c r="O749" i="1" a="1"/>
  <c r="O749" i="1" s="1"/>
  <c r="N749" i="1"/>
  <c r="M749" i="1"/>
  <c r="O748" i="1"/>
  <c r="O748" i="1" a="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c r="O741" i="1" a="1"/>
  <c r="N741" i="1"/>
  <c r="M741" i="1"/>
  <c r="O740" i="1" a="1"/>
  <c r="O740" i="1" s="1"/>
  <c r="N740" i="1"/>
  <c r="M740" i="1"/>
  <c r="O739" i="1" a="1"/>
  <c r="O739" i="1" s="1"/>
  <c r="N739" i="1"/>
  <c r="M739" i="1"/>
  <c r="O738" i="1" a="1"/>
  <c r="O738" i="1" s="1"/>
  <c r="N738" i="1"/>
  <c r="M738" i="1"/>
  <c r="O737" i="1"/>
  <c r="O737" i="1" a="1"/>
  <c r="N737" i="1"/>
  <c r="M737" i="1"/>
  <c r="O736" i="1"/>
  <c r="O736" i="1" a="1"/>
  <c r="N736" i="1"/>
  <c r="M736" i="1"/>
  <c r="O735" i="1"/>
  <c r="O735" i="1" a="1"/>
  <c r="N735" i="1"/>
  <c r="M735" i="1"/>
  <c r="O734" i="1"/>
  <c r="O734" i="1" a="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c r="O727" i="1" a="1"/>
  <c r="N727" i="1"/>
  <c r="M727" i="1"/>
  <c r="O726" i="1" a="1"/>
  <c r="O726" i="1" s="1"/>
  <c r="N726" i="1"/>
  <c r="M726" i="1"/>
  <c r="O725" i="1" a="1"/>
  <c r="O725" i="1" s="1"/>
  <c r="N725" i="1"/>
  <c r="M725" i="1"/>
  <c r="O724" i="1"/>
  <c r="O724" i="1" a="1"/>
  <c r="N724" i="1"/>
  <c r="M724" i="1"/>
  <c r="O723" i="1" a="1"/>
  <c r="O723" i="1" s="1"/>
  <c r="N723" i="1"/>
  <c r="M723" i="1"/>
  <c r="O722" i="1" a="1"/>
  <c r="O722" i="1" s="1"/>
  <c r="N722" i="1"/>
  <c r="M722" i="1"/>
  <c r="O721" i="1" a="1"/>
  <c r="O721" i="1" s="1"/>
  <c r="N721" i="1"/>
  <c r="M721" i="1"/>
  <c r="O720" i="1"/>
  <c r="O720" i="1" a="1"/>
  <c r="N720" i="1"/>
  <c r="M720" i="1"/>
  <c r="O719" i="1" a="1"/>
  <c r="O719" i="1" s="1"/>
  <c r="N719" i="1"/>
  <c r="M719" i="1"/>
  <c r="O718" i="1" a="1"/>
  <c r="O718" i="1" s="1"/>
  <c r="N718" i="1"/>
  <c r="M718" i="1"/>
  <c r="O717" i="1" a="1"/>
  <c r="O717" i="1" s="1"/>
  <c r="N717" i="1"/>
  <c r="M717" i="1"/>
  <c r="O716" i="1"/>
  <c r="O716" i="1" a="1"/>
  <c r="N716" i="1"/>
  <c r="M716" i="1"/>
  <c r="O715" i="1" a="1"/>
  <c r="O715" i="1" s="1"/>
  <c r="N715" i="1"/>
  <c r="M715" i="1"/>
  <c r="O714" i="1" a="1"/>
  <c r="O714" i="1" s="1"/>
  <c r="N714" i="1"/>
  <c r="M714" i="1"/>
  <c r="O713" i="1"/>
  <c r="O713" i="1" a="1"/>
  <c r="N713" i="1"/>
  <c r="M713" i="1"/>
  <c r="O712" i="1" a="1"/>
  <c r="O712" i="1" s="1"/>
  <c r="N712" i="1"/>
  <c r="M712" i="1"/>
  <c r="O711" i="1"/>
  <c r="O711" i="1" a="1"/>
  <c r="N711" i="1"/>
  <c r="M711" i="1"/>
  <c r="O710" i="1" a="1"/>
  <c r="O710" i="1" s="1"/>
  <c r="N710" i="1"/>
  <c r="M710" i="1"/>
  <c r="O709" i="1" a="1"/>
  <c r="O709" i="1" s="1"/>
  <c r="N709" i="1"/>
  <c r="M709" i="1"/>
  <c r="O708" i="1"/>
  <c r="O708" i="1" a="1"/>
  <c r="N708" i="1"/>
  <c r="M708" i="1"/>
  <c r="O707" i="1"/>
  <c r="O707" i="1" a="1"/>
  <c r="N707" i="1"/>
  <c r="M707" i="1"/>
  <c r="O706" i="1"/>
  <c r="O706" i="1" a="1"/>
  <c r="N706" i="1"/>
  <c r="M706" i="1"/>
  <c r="O705" i="1" a="1"/>
  <c r="O705" i="1" s="1"/>
  <c r="N705" i="1"/>
  <c r="M705" i="1"/>
  <c r="O704" i="1" a="1"/>
  <c r="O704" i="1" s="1"/>
  <c r="N704" i="1"/>
  <c r="M704" i="1"/>
  <c r="O703" i="1" a="1"/>
  <c r="O703" i="1" s="1"/>
  <c r="N703" i="1"/>
  <c r="M703" i="1"/>
  <c r="O702" i="1" a="1"/>
  <c r="O702" i="1" s="1"/>
  <c r="N702" i="1"/>
  <c r="M702" i="1"/>
  <c r="O701" i="1"/>
  <c r="O701" i="1" a="1"/>
  <c r="N701" i="1"/>
  <c r="M701" i="1"/>
  <c r="O700" i="1" a="1"/>
  <c r="O700" i="1" s="1"/>
  <c r="N700" i="1"/>
  <c r="M700" i="1"/>
  <c r="O699" i="1"/>
  <c r="O699" i="1" a="1"/>
  <c r="N699" i="1"/>
  <c r="M699" i="1"/>
  <c r="O698" i="1" a="1"/>
  <c r="O698" i="1" s="1"/>
  <c r="N698" i="1"/>
  <c r="M698" i="1"/>
  <c r="O697" i="1" a="1"/>
  <c r="O697" i="1" s="1"/>
  <c r="N697" i="1"/>
  <c r="M697" i="1"/>
  <c r="O696" i="1" a="1"/>
  <c r="O696" i="1" s="1"/>
  <c r="N696" i="1"/>
  <c r="M696" i="1"/>
  <c r="O695" i="1"/>
  <c r="O695" i="1" a="1"/>
  <c r="N695" i="1"/>
  <c r="M695" i="1"/>
  <c r="O694" i="1" a="1"/>
  <c r="O694" i="1" s="1"/>
  <c r="N694" i="1"/>
  <c r="M694" i="1"/>
  <c r="O693" i="1"/>
  <c r="O693" i="1" a="1"/>
  <c r="N693" i="1"/>
  <c r="M693" i="1"/>
  <c r="O692" i="1"/>
  <c r="O692" i="1" a="1"/>
  <c r="N692" i="1"/>
  <c r="M692" i="1"/>
  <c r="O691" i="1" a="1"/>
  <c r="O691" i="1" s="1"/>
  <c r="N691" i="1"/>
  <c r="M691" i="1"/>
  <c r="O690" i="1"/>
  <c r="O690" i="1" a="1"/>
  <c r="N690" i="1"/>
  <c r="M690" i="1"/>
  <c r="O689" i="1" a="1"/>
  <c r="O689" i="1" s="1"/>
  <c r="N689" i="1"/>
  <c r="M689" i="1"/>
  <c r="O688" i="1"/>
  <c r="O688" i="1" a="1"/>
  <c r="N688" i="1"/>
  <c r="M688" i="1"/>
  <c r="O687" i="1" a="1"/>
  <c r="O687" i="1" s="1"/>
  <c r="N687" i="1"/>
  <c r="M687" i="1"/>
  <c r="O686" i="1" a="1"/>
  <c r="O686" i="1" s="1"/>
  <c r="N686" i="1"/>
  <c r="M686" i="1"/>
  <c r="O685" i="1"/>
  <c r="O685" i="1" a="1"/>
  <c r="N685" i="1"/>
  <c r="M685" i="1"/>
  <c r="O684" i="1" a="1"/>
  <c r="O684" i="1" s="1"/>
  <c r="N684" i="1"/>
  <c r="M684" i="1"/>
  <c r="O683" i="1"/>
  <c r="O683" i="1" a="1"/>
  <c r="N683" i="1"/>
  <c r="M683" i="1"/>
  <c r="O682" i="1"/>
  <c r="O682" i="1" a="1"/>
  <c r="N682" i="1"/>
  <c r="M682" i="1"/>
  <c r="O681" i="1" a="1"/>
  <c r="O681" i="1" s="1"/>
  <c r="N681" i="1"/>
  <c r="M681" i="1"/>
  <c r="O680" i="1" a="1"/>
  <c r="O680" i="1" s="1"/>
  <c r="N680" i="1"/>
  <c r="M680" i="1"/>
  <c r="O679" i="1"/>
  <c r="O679" i="1" a="1"/>
  <c r="N679" i="1"/>
  <c r="M679" i="1"/>
  <c r="O678" i="1"/>
  <c r="O678" i="1" a="1"/>
  <c r="N678" i="1"/>
  <c r="M678" i="1"/>
  <c r="O677" i="1" a="1"/>
  <c r="O677" i="1" s="1"/>
  <c r="N677" i="1"/>
  <c r="M677" i="1"/>
  <c r="O676" i="1" a="1"/>
  <c r="O676" i="1" s="1"/>
  <c r="N676" i="1"/>
  <c r="M676" i="1"/>
  <c r="O675" i="1"/>
  <c r="O675" i="1" a="1"/>
  <c r="N675" i="1"/>
  <c r="M675" i="1"/>
  <c r="O674" i="1" a="1"/>
  <c r="O674" i="1" s="1"/>
  <c r="N674" i="1"/>
  <c r="M674" i="1"/>
  <c r="O673" i="1" a="1"/>
  <c r="O673" i="1" s="1"/>
  <c r="N673" i="1"/>
  <c r="M673" i="1"/>
  <c r="O672" i="1" a="1"/>
  <c r="O672" i="1" s="1"/>
  <c r="N672" i="1"/>
  <c r="M672" i="1"/>
  <c r="O671" i="1"/>
  <c r="O671" i="1" a="1"/>
  <c r="N671" i="1"/>
  <c r="M671" i="1"/>
  <c r="O670" i="1" a="1"/>
  <c r="O670" i="1" s="1"/>
  <c r="N670" i="1"/>
  <c r="M670" i="1"/>
  <c r="O669" i="1" a="1"/>
  <c r="O669" i="1" s="1"/>
  <c r="N669" i="1"/>
  <c r="M669" i="1"/>
  <c r="O668" i="1"/>
  <c r="O668" i="1" a="1"/>
  <c r="N668" i="1"/>
  <c r="M668" i="1"/>
  <c r="O667" i="1" a="1"/>
  <c r="O667" i="1" s="1"/>
  <c r="N667" i="1"/>
  <c r="M667" i="1"/>
  <c r="O666" i="1"/>
  <c r="O666" i="1" a="1"/>
  <c r="N666" i="1"/>
  <c r="M666" i="1"/>
  <c r="O665" i="1"/>
  <c r="O665" i="1" a="1"/>
  <c r="N665" i="1"/>
  <c r="M665" i="1"/>
  <c r="O664" i="1"/>
  <c r="O664" i="1" a="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c r="O658" i="1" a="1"/>
  <c r="N658" i="1"/>
  <c r="M658" i="1"/>
  <c r="O657" i="1"/>
  <c r="O657" i="1" a="1"/>
  <c r="N657" i="1"/>
  <c r="M657" i="1"/>
  <c r="O656" i="1" a="1"/>
  <c r="O656" i="1" s="1"/>
  <c r="N656" i="1"/>
  <c r="M656" i="1"/>
  <c r="O655" i="1"/>
  <c r="O655" i="1" a="1"/>
  <c r="N655" i="1"/>
  <c r="M655" i="1"/>
  <c r="O654" i="1" a="1"/>
  <c r="O654" i="1" s="1"/>
  <c r="N654" i="1"/>
  <c r="M654" i="1"/>
  <c r="O653" i="1"/>
  <c r="O653" i="1" a="1"/>
  <c r="N653" i="1"/>
  <c r="M653" i="1"/>
  <c r="O652" i="1"/>
  <c r="O652" i="1" a="1"/>
  <c r="N652" i="1"/>
  <c r="M652" i="1"/>
  <c r="O651" i="1" a="1"/>
  <c r="O651" i="1" s="1"/>
  <c r="N651" i="1"/>
  <c r="M651" i="1"/>
  <c r="O650" i="1"/>
  <c r="O650" i="1" a="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c r="O643" i="1" a="1"/>
  <c r="N643" i="1"/>
  <c r="M643" i="1"/>
  <c r="O642" i="1" a="1"/>
  <c r="O642" i="1" s="1"/>
  <c r="N642" i="1"/>
  <c r="M642" i="1"/>
  <c r="O641" i="1" a="1"/>
  <c r="O641" i="1" s="1"/>
  <c r="N641" i="1"/>
  <c r="M641" i="1"/>
  <c r="O640" i="1"/>
  <c r="O640" i="1" a="1"/>
  <c r="N640" i="1"/>
  <c r="M640" i="1"/>
  <c r="O639" i="1" a="1"/>
  <c r="O639" i="1" s="1"/>
  <c r="N639" i="1"/>
  <c r="M639" i="1"/>
  <c r="O638" i="1" a="1"/>
  <c r="O638" i="1" s="1"/>
  <c r="N638" i="1"/>
  <c r="M638" i="1"/>
  <c r="O637" i="1"/>
  <c r="O637" i="1" a="1"/>
  <c r="N637" i="1"/>
  <c r="M637" i="1"/>
  <c r="O636" i="1"/>
  <c r="O636" i="1" a="1"/>
  <c r="N636" i="1"/>
  <c r="M636" i="1"/>
  <c r="O635" i="1" a="1"/>
  <c r="O635" i="1" s="1"/>
  <c r="N635" i="1"/>
  <c r="M635" i="1"/>
  <c r="O634" i="1" a="1"/>
  <c r="O634" i="1" s="1"/>
  <c r="N634" i="1"/>
  <c r="M634" i="1"/>
  <c r="O633" i="1"/>
  <c r="O633" i="1" a="1"/>
  <c r="N633" i="1"/>
  <c r="M633" i="1"/>
  <c r="O632" i="1" a="1"/>
  <c r="O632" i="1" s="1"/>
  <c r="N632" i="1"/>
  <c r="M632" i="1"/>
  <c r="O631" i="1" a="1"/>
  <c r="O631" i="1" s="1"/>
  <c r="N631" i="1"/>
  <c r="M631" i="1"/>
  <c r="O630" i="1" a="1"/>
  <c r="O630" i="1" s="1"/>
  <c r="N630" i="1"/>
  <c r="M630" i="1"/>
  <c r="O629" i="1"/>
  <c r="O629" i="1" a="1"/>
  <c r="N629" i="1"/>
  <c r="M629" i="1"/>
  <c r="O628" i="1" a="1"/>
  <c r="O628" i="1" s="1"/>
  <c r="N628" i="1"/>
  <c r="M628" i="1"/>
  <c r="O627" i="1"/>
  <c r="O627" i="1" a="1"/>
  <c r="N627" i="1"/>
  <c r="M627" i="1"/>
  <c r="O626" i="1" a="1"/>
  <c r="O626" i="1" s="1"/>
  <c r="N626" i="1"/>
  <c r="M626" i="1"/>
  <c r="O625" i="1" a="1"/>
  <c r="O625" i="1" s="1"/>
  <c r="N625" i="1"/>
  <c r="M625" i="1"/>
  <c r="O624" i="1"/>
  <c r="O624" i="1" a="1"/>
  <c r="N624" i="1"/>
  <c r="M624" i="1"/>
  <c r="O623" i="1" a="1"/>
  <c r="O623" i="1" s="1"/>
  <c r="N623" i="1"/>
  <c r="M623" i="1"/>
  <c r="O622" i="1"/>
  <c r="O622" i="1" a="1"/>
  <c r="N622" i="1"/>
  <c r="M622" i="1"/>
  <c r="O621" i="1" a="1"/>
  <c r="O621" i="1" s="1"/>
  <c r="N621" i="1"/>
  <c r="M621" i="1"/>
  <c r="O620" i="1" a="1"/>
  <c r="O620" i="1" s="1"/>
  <c r="N620" i="1"/>
  <c r="M620" i="1"/>
  <c r="O619" i="1" a="1"/>
  <c r="O619" i="1" s="1"/>
  <c r="N619" i="1"/>
  <c r="M619" i="1"/>
  <c r="O618" i="1"/>
  <c r="O618" i="1" a="1"/>
  <c r="N618" i="1"/>
  <c r="M618" i="1"/>
  <c r="O617" i="1" a="1"/>
  <c r="O617" i="1" s="1"/>
  <c r="N617" i="1"/>
  <c r="M617" i="1"/>
  <c r="O616" i="1" a="1"/>
  <c r="O616" i="1" s="1"/>
  <c r="N616" i="1"/>
  <c r="M616" i="1"/>
  <c r="O615" i="1"/>
  <c r="O615" i="1" a="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c r="O608" i="1" a="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c r="O601" i="1" a="1"/>
  <c r="N601" i="1"/>
  <c r="M601" i="1"/>
  <c r="O600" i="1" a="1"/>
  <c r="O600" i="1" s="1"/>
  <c r="N600" i="1"/>
  <c r="M600" i="1"/>
  <c r="O599" i="1"/>
  <c r="O599" i="1" a="1"/>
  <c r="N599" i="1"/>
  <c r="M599" i="1"/>
  <c r="O598" i="1"/>
  <c r="O598" i="1" a="1"/>
  <c r="N598" i="1"/>
  <c r="M598" i="1"/>
  <c r="O597" i="1" a="1"/>
  <c r="O597" i="1" s="1"/>
  <c r="N597" i="1"/>
  <c r="M597" i="1"/>
  <c r="O596" i="1"/>
  <c r="O596" i="1" a="1"/>
  <c r="N596" i="1"/>
  <c r="M596" i="1"/>
  <c r="O595" i="1"/>
  <c r="O595" i="1" a="1"/>
  <c r="N595" i="1"/>
  <c r="M595" i="1"/>
  <c r="O594" i="1"/>
  <c r="O594" i="1" a="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c r="O587" i="1" a="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c r="O581" i="1" a="1"/>
  <c r="N581" i="1"/>
  <c r="M581" i="1"/>
  <c r="O580" i="1"/>
  <c r="O580" i="1" a="1"/>
  <c r="N580" i="1"/>
  <c r="M580" i="1"/>
  <c r="O579" i="1" a="1"/>
  <c r="O579" i="1" s="1"/>
  <c r="N579" i="1"/>
  <c r="M579" i="1"/>
  <c r="O578" i="1"/>
  <c r="O578" i="1" a="1"/>
  <c r="N578" i="1"/>
  <c r="M578" i="1"/>
  <c r="O577" i="1" a="1"/>
  <c r="O577" i="1" s="1"/>
  <c r="N577" i="1"/>
  <c r="M577" i="1"/>
  <c r="O576" i="1" a="1"/>
  <c r="O576" i="1" s="1"/>
  <c r="N576" i="1"/>
  <c r="M576" i="1"/>
  <c r="O575" i="1"/>
  <c r="O575" i="1" a="1"/>
  <c r="N575" i="1"/>
  <c r="M575" i="1"/>
  <c r="O574" i="1" a="1"/>
  <c r="O574" i="1" s="1"/>
  <c r="N574" i="1"/>
  <c r="M574" i="1"/>
  <c r="O573" i="1"/>
  <c r="O573" i="1" a="1"/>
  <c r="N573" i="1"/>
  <c r="M573" i="1"/>
  <c r="O572" i="1" a="1"/>
  <c r="O572" i="1" s="1"/>
  <c r="N572" i="1"/>
  <c r="M572" i="1"/>
  <c r="O571" i="1"/>
  <c r="O571" i="1" a="1"/>
  <c r="N571" i="1"/>
  <c r="M571" i="1"/>
  <c r="O570" i="1"/>
  <c r="O570" i="1" a="1"/>
  <c r="N570" i="1"/>
  <c r="M570" i="1"/>
  <c r="O569" i="1"/>
  <c r="O569" i="1" a="1"/>
  <c r="N569" i="1"/>
  <c r="M569" i="1"/>
  <c r="O568" i="1" a="1"/>
  <c r="O568" i="1" s="1"/>
  <c r="N568" i="1"/>
  <c r="M568" i="1"/>
  <c r="O567" i="1" a="1"/>
  <c r="O567" i="1" s="1"/>
  <c r="N567" i="1"/>
  <c r="M567" i="1"/>
  <c r="O566" i="1"/>
  <c r="O566" i="1" a="1"/>
  <c r="N566" i="1"/>
  <c r="M566" i="1"/>
  <c r="O565" i="1" a="1"/>
  <c r="O565" i="1" s="1"/>
  <c r="N565" i="1"/>
  <c r="M565" i="1"/>
  <c r="O564" i="1" a="1"/>
  <c r="O564" i="1" s="1"/>
  <c r="N564" i="1"/>
  <c r="M564" i="1"/>
  <c r="O563" i="1"/>
  <c r="O563" i="1" a="1"/>
  <c r="N563" i="1"/>
  <c r="M563" i="1"/>
  <c r="O562" i="1" a="1"/>
  <c r="O562" i="1" s="1"/>
  <c r="N562" i="1"/>
  <c r="M562" i="1"/>
  <c r="O561" i="1" a="1"/>
  <c r="O561" i="1" s="1"/>
  <c r="N561" i="1"/>
  <c r="M561" i="1"/>
  <c r="O560" i="1"/>
  <c r="O560" i="1" a="1"/>
  <c r="N560" i="1"/>
  <c r="M560" i="1"/>
  <c r="O559" i="1"/>
  <c r="O559" i="1" a="1"/>
  <c r="N559" i="1"/>
  <c r="M559" i="1"/>
  <c r="O558" i="1" a="1"/>
  <c r="O558" i="1" s="1"/>
  <c r="N558" i="1"/>
  <c r="M558" i="1"/>
  <c r="O557" i="1"/>
  <c r="O557" i="1" a="1"/>
  <c r="N557" i="1"/>
  <c r="M557" i="1"/>
  <c r="O556" i="1"/>
  <c r="O556" i="1" a="1"/>
  <c r="N556" i="1"/>
  <c r="M556" i="1"/>
  <c r="O555" i="1" a="1"/>
  <c r="O555" i="1" s="1"/>
  <c r="N555" i="1"/>
  <c r="M555" i="1"/>
  <c r="O554" i="1" a="1"/>
  <c r="O554" i="1" s="1"/>
  <c r="N554" i="1"/>
  <c r="M554" i="1"/>
  <c r="O553" i="1" a="1"/>
  <c r="O553" i="1" s="1"/>
  <c r="N553" i="1"/>
  <c r="M553" i="1"/>
  <c r="O552" i="1"/>
  <c r="O552" i="1" a="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c r="O545" i="1" a="1"/>
  <c r="N545" i="1"/>
  <c r="M545" i="1"/>
  <c r="O544" i="1" a="1"/>
  <c r="O544" i="1" s="1"/>
  <c r="N544" i="1"/>
  <c r="M544" i="1"/>
  <c r="O543" i="1"/>
  <c r="O543" i="1" a="1"/>
  <c r="N543" i="1"/>
  <c r="M543" i="1"/>
  <c r="O542" i="1" a="1"/>
  <c r="O542" i="1" s="1"/>
  <c r="N542" i="1"/>
  <c r="M542" i="1"/>
  <c r="O541" i="1"/>
  <c r="O541" i="1" a="1"/>
  <c r="N541" i="1"/>
  <c r="M541" i="1"/>
  <c r="O540" i="1"/>
  <c r="O540" i="1" a="1"/>
  <c r="N540" i="1"/>
  <c r="M540" i="1"/>
  <c r="O539" i="1" a="1"/>
  <c r="O539" i="1" s="1"/>
  <c r="N539" i="1"/>
  <c r="M539" i="1"/>
  <c r="O538" i="1"/>
  <c r="O538" i="1" a="1"/>
  <c r="N538" i="1"/>
  <c r="M538" i="1"/>
  <c r="O537" i="1" a="1"/>
  <c r="O537" i="1" s="1"/>
  <c r="N537" i="1"/>
  <c r="M537" i="1"/>
  <c r="O536" i="1" a="1"/>
  <c r="O536" i="1" s="1"/>
  <c r="N536" i="1"/>
  <c r="M536" i="1"/>
  <c r="O535" i="1" a="1"/>
  <c r="O535" i="1" s="1"/>
  <c r="N535" i="1"/>
  <c r="M535" i="1"/>
  <c r="O534" i="1" a="1"/>
  <c r="O534" i="1" s="1"/>
  <c r="N534" i="1"/>
  <c r="M534" i="1"/>
  <c r="O533" i="1"/>
  <c r="O533" i="1" a="1"/>
  <c r="N533" i="1"/>
  <c r="M533" i="1"/>
  <c r="O532" i="1" a="1"/>
  <c r="O532" i="1" s="1"/>
  <c r="N532" i="1"/>
  <c r="M532" i="1"/>
  <c r="O531" i="1"/>
  <c r="O531" i="1" a="1"/>
  <c r="N531" i="1"/>
  <c r="M531" i="1"/>
  <c r="O530" i="1" a="1"/>
  <c r="O530" i="1" s="1"/>
  <c r="N530" i="1"/>
  <c r="M530" i="1"/>
  <c r="O529" i="1" a="1"/>
  <c r="O529" i="1" s="1"/>
  <c r="N529" i="1"/>
  <c r="M529" i="1"/>
  <c r="O528" i="1"/>
  <c r="O528" i="1" a="1"/>
  <c r="N528" i="1"/>
  <c r="M528" i="1"/>
  <c r="O527" i="1" a="1"/>
  <c r="O527" i="1" s="1"/>
  <c r="N527" i="1"/>
  <c r="M527" i="1"/>
  <c r="O526" i="1"/>
  <c r="O526" i="1" a="1"/>
  <c r="N526" i="1"/>
  <c r="M526" i="1"/>
  <c r="O525" i="1" a="1"/>
  <c r="O525" i="1" s="1"/>
  <c r="N525" i="1"/>
  <c r="M525" i="1"/>
  <c r="O524" i="1"/>
  <c r="O524" i="1" a="1"/>
  <c r="N524" i="1"/>
  <c r="M524" i="1"/>
  <c r="O523" i="1" a="1"/>
  <c r="O523" i="1" s="1"/>
  <c r="N523" i="1"/>
  <c r="M523" i="1"/>
  <c r="O522" i="1" a="1"/>
  <c r="O522" i="1" s="1"/>
  <c r="N522" i="1"/>
  <c r="M522" i="1"/>
  <c r="O521" i="1"/>
  <c r="O521" i="1" a="1"/>
  <c r="N521" i="1"/>
  <c r="M521" i="1"/>
  <c r="O520" i="1" a="1"/>
  <c r="O520" i="1" s="1"/>
  <c r="N520" i="1"/>
  <c r="M520" i="1"/>
  <c r="O519" i="1" a="1"/>
  <c r="O519" i="1" s="1"/>
  <c r="N519" i="1"/>
  <c r="M519" i="1"/>
  <c r="O518" i="1" a="1"/>
  <c r="O518" i="1" s="1"/>
  <c r="N518" i="1"/>
  <c r="M518" i="1"/>
  <c r="O517" i="1"/>
  <c r="O517" i="1" a="1"/>
  <c r="N517" i="1"/>
  <c r="M517" i="1"/>
  <c r="O516" i="1" a="1"/>
  <c r="O516" i="1" s="1"/>
  <c r="N516" i="1"/>
  <c r="M516" i="1"/>
  <c r="O515" i="1"/>
  <c r="O515" i="1" a="1"/>
  <c r="N515" i="1"/>
  <c r="M515" i="1"/>
  <c r="O514" i="1" a="1"/>
  <c r="O514" i="1" s="1"/>
  <c r="N514" i="1"/>
  <c r="M514" i="1"/>
  <c r="O513" i="1" a="1"/>
  <c r="O513" i="1" s="1"/>
  <c r="N513" i="1"/>
  <c r="M513" i="1"/>
  <c r="O512" i="1"/>
  <c r="O512" i="1" a="1"/>
  <c r="N512" i="1"/>
  <c r="M512" i="1"/>
  <c r="O511" i="1"/>
  <c r="O511" i="1" a="1"/>
  <c r="N511" i="1"/>
  <c r="M511" i="1"/>
  <c r="O510" i="1"/>
  <c r="O510" i="1" a="1"/>
  <c r="N510" i="1"/>
  <c r="M510" i="1"/>
  <c r="O509" i="1" a="1"/>
  <c r="O509" i="1" s="1"/>
  <c r="N509" i="1"/>
  <c r="M509" i="1"/>
  <c r="O508" i="1" a="1"/>
  <c r="O508" i="1" s="1"/>
  <c r="N508" i="1"/>
  <c r="M508" i="1"/>
  <c r="O507" i="1"/>
  <c r="O507" i="1" a="1"/>
  <c r="N507" i="1"/>
  <c r="M507" i="1"/>
  <c r="O506" i="1" a="1"/>
  <c r="O506" i="1" s="1"/>
  <c r="N506" i="1"/>
  <c r="M506" i="1"/>
  <c r="O505" i="1" a="1"/>
  <c r="O505" i="1" s="1"/>
  <c r="N505" i="1"/>
  <c r="M505" i="1"/>
  <c r="O504" i="1" a="1"/>
  <c r="O504" i="1" s="1"/>
  <c r="N504" i="1"/>
  <c r="M504" i="1"/>
  <c r="O503" i="1"/>
  <c r="O503" i="1" a="1"/>
  <c r="N503" i="1"/>
  <c r="M503" i="1"/>
  <c r="O502" i="1" a="1"/>
  <c r="O502" i="1" s="1"/>
  <c r="N502" i="1"/>
  <c r="M502" i="1"/>
  <c r="O501" i="1" a="1"/>
  <c r="O501" i="1" s="1"/>
  <c r="N501" i="1"/>
  <c r="M501" i="1"/>
  <c r="O500" i="1" a="1"/>
  <c r="O500" i="1" s="1"/>
  <c r="N500" i="1"/>
  <c r="M500" i="1"/>
  <c r="O499" i="1"/>
  <c r="O499" i="1" a="1"/>
  <c r="N499" i="1"/>
  <c r="M499" i="1"/>
  <c r="O498" i="1" a="1"/>
  <c r="O498" i="1" s="1"/>
  <c r="N498" i="1"/>
  <c r="M498" i="1"/>
  <c r="O497" i="1"/>
  <c r="O497" i="1" a="1"/>
  <c r="N497" i="1"/>
  <c r="M497" i="1"/>
  <c r="O496" i="1"/>
  <c r="O496" i="1" a="1"/>
  <c r="N496" i="1"/>
  <c r="M496" i="1"/>
  <c r="O495" i="1" a="1"/>
  <c r="O495" i="1" s="1"/>
  <c r="N495" i="1"/>
  <c r="M495" i="1"/>
  <c r="O494" i="1"/>
  <c r="O494" i="1" a="1"/>
  <c r="N494" i="1"/>
  <c r="M494" i="1"/>
  <c r="O493" i="1" a="1"/>
  <c r="O493" i="1" s="1"/>
  <c r="N493" i="1"/>
  <c r="M493" i="1"/>
  <c r="O492" i="1" a="1"/>
  <c r="O492" i="1" s="1"/>
  <c r="N492" i="1"/>
  <c r="M492" i="1"/>
  <c r="O491" i="1"/>
  <c r="O491" i="1" a="1"/>
  <c r="N491" i="1"/>
  <c r="M491" i="1"/>
  <c r="O490" i="1" a="1"/>
  <c r="O490" i="1" s="1"/>
  <c r="N490" i="1"/>
  <c r="M490" i="1"/>
  <c r="O489" i="1"/>
  <c r="O489" i="1" a="1"/>
  <c r="N489" i="1"/>
  <c r="M489" i="1"/>
  <c r="O488" i="1" a="1"/>
  <c r="O488" i="1" s="1"/>
  <c r="N488" i="1"/>
  <c r="M488" i="1"/>
  <c r="O487" i="1" a="1"/>
  <c r="O487" i="1" s="1"/>
  <c r="N487" i="1"/>
  <c r="M487" i="1"/>
  <c r="O486" i="1"/>
  <c r="O486" i="1" a="1"/>
  <c r="N486" i="1"/>
  <c r="M486" i="1"/>
  <c r="O485" i="1" a="1"/>
  <c r="O485" i="1" s="1"/>
  <c r="N485" i="1"/>
  <c r="M485" i="1"/>
  <c r="O484" i="1" a="1"/>
  <c r="O484" i="1" s="1"/>
  <c r="N484" i="1"/>
  <c r="M484" i="1"/>
  <c r="O483" i="1"/>
  <c r="O483" i="1" a="1"/>
  <c r="N483" i="1"/>
  <c r="M483" i="1"/>
  <c r="O482" i="1"/>
  <c r="O482" i="1" a="1"/>
  <c r="N482" i="1"/>
  <c r="M482" i="1"/>
  <c r="O481" i="1" a="1"/>
  <c r="O481" i="1" s="1"/>
  <c r="N481" i="1"/>
  <c r="M481" i="1"/>
  <c r="O480" i="1" a="1"/>
  <c r="O480" i="1" s="1"/>
  <c r="N480" i="1"/>
  <c r="M480" i="1"/>
  <c r="O479" i="1"/>
  <c r="O479" i="1" a="1"/>
  <c r="N479" i="1"/>
  <c r="M479" i="1"/>
  <c r="O478" i="1" a="1"/>
  <c r="O478" i="1" s="1"/>
  <c r="N478" i="1"/>
  <c r="M478" i="1"/>
  <c r="O477" i="1" a="1"/>
  <c r="O477" i="1" s="1"/>
  <c r="N477" i="1"/>
  <c r="M477" i="1"/>
  <c r="O476" i="1"/>
  <c r="O476" i="1" a="1"/>
  <c r="N476" i="1"/>
  <c r="M476" i="1"/>
  <c r="O475" i="1"/>
  <c r="O475" i="1" a="1"/>
  <c r="N475" i="1"/>
  <c r="M475" i="1"/>
  <c r="O474" i="1" a="1"/>
  <c r="O474" i="1" s="1"/>
  <c r="N474" i="1"/>
  <c r="M474" i="1"/>
  <c r="O473" i="1" a="1"/>
  <c r="O473" i="1" s="1"/>
  <c r="N473" i="1"/>
  <c r="M473" i="1"/>
  <c r="O472" i="1"/>
  <c r="O472" i="1" a="1"/>
  <c r="N472" i="1"/>
  <c r="M472" i="1"/>
  <c r="O471" i="1" a="1"/>
  <c r="O471" i="1" s="1"/>
  <c r="N471" i="1"/>
  <c r="M471" i="1"/>
  <c r="O470" i="1"/>
  <c r="O470" i="1" a="1"/>
  <c r="N470" i="1"/>
  <c r="M470" i="1"/>
  <c r="O469" i="1" a="1"/>
  <c r="O469" i="1" s="1"/>
  <c r="N469" i="1"/>
  <c r="M469" i="1"/>
  <c r="O468" i="1"/>
  <c r="O468" i="1" a="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c r="O461" i="1" a="1"/>
  <c r="N461" i="1"/>
  <c r="M461" i="1"/>
  <c r="O460" i="1" a="1"/>
  <c r="O460" i="1" s="1"/>
  <c r="N460" i="1"/>
  <c r="M460" i="1"/>
  <c r="O459" i="1" a="1"/>
  <c r="O459" i="1" s="1"/>
  <c r="N459" i="1"/>
  <c r="M459" i="1"/>
  <c r="O458" i="1" a="1"/>
  <c r="O458" i="1" s="1"/>
  <c r="N458" i="1"/>
  <c r="M458" i="1"/>
  <c r="O457" i="1"/>
  <c r="O457" i="1" a="1"/>
  <c r="N457" i="1"/>
  <c r="M457" i="1"/>
  <c r="O456" i="1" a="1"/>
  <c r="O456" i="1" s="1"/>
  <c r="N456" i="1"/>
  <c r="M456" i="1"/>
  <c r="O455" i="1" a="1"/>
  <c r="O455" i="1" s="1"/>
  <c r="N455" i="1"/>
  <c r="M455" i="1"/>
  <c r="O454" i="1"/>
  <c r="O454" i="1" a="1"/>
  <c r="N454" i="1"/>
  <c r="M454" i="1"/>
  <c r="O453" i="1" a="1"/>
  <c r="O453" i="1" s="1"/>
  <c r="N453" i="1"/>
  <c r="M453" i="1"/>
  <c r="O452" i="1" a="1"/>
  <c r="O452" i="1" s="1"/>
  <c r="N452" i="1"/>
  <c r="M452" i="1"/>
  <c r="O451" i="1" a="1"/>
  <c r="O451" i="1" s="1"/>
  <c r="N451" i="1"/>
  <c r="M451" i="1"/>
  <c r="O450" i="1" a="1"/>
  <c r="O450" i="1" s="1"/>
  <c r="N450" i="1"/>
  <c r="M450" i="1"/>
  <c r="O449" i="1"/>
  <c r="O449" i="1" a="1"/>
  <c r="N449" i="1"/>
  <c r="M449" i="1"/>
  <c r="O448" i="1" a="1"/>
  <c r="O448" i="1" s="1"/>
  <c r="N448" i="1"/>
  <c r="M448" i="1"/>
  <c r="O447" i="1"/>
  <c r="O447" i="1" a="1"/>
  <c r="N447" i="1"/>
  <c r="M447" i="1"/>
  <c r="O446" i="1" a="1"/>
  <c r="O446" i="1" s="1"/>
  <c r="N446" i="1"/>
  <c r="M446" i="1"/>
  <c r="O445" i="1" a="1"/>
  <c r="O445" i="1" s="1"/>
  <c r="N445" i="1"/>
  <c r="M445" i="1"/>
  <c r="O444" i="1"/>
  <c r="O444" i="1" a="1"/>
  <c r="N444" i="1"/>
  <c r="M444" i="1"/>
  <c r="O443" i="1" a="1"/>
  <c r="O443" i="1" s="1"/>
  <c r="N443" i="1"/>
  <c r="M443" i="1"/>
  <c r="O442" i="1" a="1"/>
  <c r="O442" i="1" s="1"/>
  <c r="N442" i="1"/>
  <c r="M442" i="1"/>
  <c r="O441" i="1"/>
  <c r="O441" i="1" a="1"/>
  <c r="N441" i="1"/>
  <c r="M441" i="1"/>
  <c r="O440" i="1"/>
  <c r="O440" i="1" a="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c r="O433" i="1" a="1"/>
  <c r="N433" i="1"/>
  <c r="M433" i="1"/>
  <c r="O432" i="1" a="1"/>
  <c r="O432" i="1" s="1"/>
  <c r="N432" i="1"/>
  <c r="M432" i="1"/>
  <c r="O431" i="1"/>
  <c r="O431" i="1" a="1"/>
  <c r="N431" i="1"/>
  <c r="M431" i="1"/>
  <c r="O430" i="1"/>
  <c r="O430" i="1" a="1"/>
  <c r="N430" i="1"/>
  <c r="M430" i="1"/>
  <c r="O429" i="1" a="1"/>
  <c r="O429" i="1" s="1"/>
  <c r="N429" i="1"/>
  <c r="M429" i="1"/>
  <c r="O428" i="1"/>
  <c r="O428" i="1" a="1"/>
  <c r="N428" i="1"/>
  <c r="M428" i="1"/>
  <c r="O427" i="1" a="1"/>
  <c r="O427" i="1" s="1"/>
  <c r="N427" i="1"/>
  <c r="M427" i="1"/>
  <c r="O426" i="1"/>
  <c r="O426" i="1" a="1"/>
  <c r="N426" i="1"/>
  <c r="M426" i="1"/>
  <c r="O425" i="1" a="1"/>
  <c r="O425" i="1" s="1"/>
  <c r="N425" i="1"/>
  <c r="M425" i="1"/>
  <c r="O424" i="1" a="1"/>
  <c r="O424" i="1" s="1"/>
  <c r="N424" i="1"/>
  <c r="M424" i="1"/>
  <c r="O423" i="1"/>
  <c r="O423" i="1" a="1"/>
  <c r="N423" i="1"/>
  <c r="M423" i="1"/>
  <c r="O422" i="1" a="1"/>
  <c r="O422" i="1" s="1"/>
  <c r="N422" i="1"/>
  <c r="M422" i="1"/>
  <c r="O421" i="1"/>
  <c r="O421" i="1" a="1"/>
  <c r="N421" i="1"/>
  <c r="M421" i="1"/>
  <c r="O420" i="1"/>
  <c r="O420" i="1" a="1"/>
  <c r="N420" i="1"/>
  <c r="M420" i="1"/>
  <c r="O419" i="1"/>
  <c r="O419" i="1" a="1"/>
  <c r="N419" i="1"/>
  <c r="M419" i="1"/>
  <c r="O418" i="1" a="1"/>
  <c r="O418" i="1" s="1"/>
  <c r="N418" i="1"/>
  <c r="M418" i="1"/>
  <c r="O417" i="1" a="1"/>
  <c r="O417" i="1" s="1"/>
  <c r="N417" i="1"/>
  <c r="M417" i="1"/>
  <c r="O416" i="1" a="1"/>
  <c r="O416" i="1" s="1"/>
  <c r="N416" i="1"/>
  <c r="M416" i="1"/>
  <c r="O415" i="1" a="1"/>
  <c r="O415" i="1" s="1"/>
  <c r="N415" i="1"/>
  <c r="M415" i="1"/>
  <c r="O414" i="1"/>
  <c r="O414" i="1" a="1"/>
  <c r="N414" i="1"/>
  <c r="M414" i="1"/>
  <c r="O413" i="1" a="1"/>
  <c r="O413" i="1" s="1"/>
  <c r="N413" i="1"/>
  <c r="M413" i="1"/>
  <c r="O412" i="1"/>
  <c r="O412" i="1" a="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c r="O405" i="1" a="1"/>
  <c r="N405" i="1"/>
  <c r="M405" i="1"/>
  <c r="O404" i="1" a="1"/>
  <c r="O404" i="1" s="1"/>
  <c r="N404" i="1"/>
  <c r="M404" i="1"/>
  <c r="O403" i="1"/>
  <c r="O403" i="1" a="1"/>
  <c r="N403" i="1"/>
  <c r="M403" i="1"/>
  <c r="O402" i="1"/>
  <c r="O402" i="1" a="1"/>
  <c r="N402" i="1"/>
  <c r="M402" i="1"/>
  <c r="O401" i="1" a="1"/>
  <c r="O401" i="1" s="1"/>
  <c r="N401" i="1"/>
  <c r="M401" i="1"/>
  <c r="O400" i="1"/>
  <c r="O400" i="1" a="1"/>
  <c r="N400" i="1"/>
  <c r="M400" i="1"/>
  <c r="O399" i="1"/>
  <c r="O399" i="1" a="1"/>
  <c r="N399" i="1"/>
  <c r="M399" i="1"/>
  <c r="O398" i="1"/>
  <c r="O398" i="1" a="1"/>
  <c r="N398" i="1"/>
  <c r="M398" i="1"/>
  <c r="O397" i="1" a="1"/>
  <c r="O397" i="1" s="1"/>
  <c r="N397" i="1"/>
  <c r="M397" i="1"/>
  <c r="O396" i="1"/>
  <c r="O396" i="1" a="1"/>
  <c r="N396" i="1"/>
  <c r="M396" i="1"/>
  <c r="O395" i="1" a="1"/>
  <c r="O395" i="1" s="1"/>
  <c r="N395" i="1"/>
  <c r="M395" i="1"/>
  <c r="O394" i="1" a="1"/>
  <c r="O394" i="1" s="1"/>
  <c r="N394" i="1"/>
  <c r="M394" i="1"/>
  <c r="O393" i="1" a="1"/>
  <c r="O393" i="1" s="1"/>
  <c r="N393" i="1"/>
  <c r="M393" i="1"/>
  <c r="O392" i="1" a="1"/>
  <c r="O392" i="1" s="1"/>
  <c r="N392" i="1"/>
  <c r="M392" i="1"/>
  <c r="O391" i="1"/>
  <c r="O391" i="1" a="1"/>
  <c r="N391" i="1"/>
  <c r="M391" i="1"/>
  <c r="O390" i="1" a="1"/>
  <c r="O390" i="1" s="1"/>
  <c r="N390" i="1"/>
  <c r="M390" i="1"/>
  <c r="O389" i="1" a="1"/>
  <c r="O389" i="1" s="1"/>
  <c r="N389" i="1"/>
  <c r="M389" i="1"/>
  <c r="O388" i="1"/>
  <c r="O388" i="1" a="1"/>
  <c r="N388" i="1"/>
  <c r="M388" i="1"/>
  <c r="O387" i="1" a="1"/>
  <c r="O387" i="1" s="1"/>
  <c r="N387" i="1"/>
  <c r="M387" i="1"/>
  <c r="O386" i="1"/>
  <c r="O386" i="1" a="1"/>
  <c r="N386" i="1"/>
  <c r="M386" i="1"/>
  <c r="O385" i="1"/>
  <c r="O385" i="1" a="1"/>
  <c r="N385" i="1"/>
  <c r="M385" i="1"/>
  <c r="O384" i="1"/>
  <c r="O384" i="1" a="1"/>
  <c r="N384" i="1"/>
  <c r="M384" i="1"/>
  <c r="O383" i="1" a="1"/>
  <c r="O383" i="1" s="1"/>
  <c r="N383" i="1"/>
  <c r="M383" i="1"/>
  <c r="O382" i="1"/>
  <c r="O382" i="1" a="1"/>
  <c r="N382" i="1"/>
  <c r="M382" i="1"/>
  <c r="O381" i="1" a="1"/>
  <c r="O381" i="1" s="1"/>
  <c r="N381" i="1"/>
  <c r="M381" i="1"/>
  <c r="O380" i="1" a="1"/>
  <c r="O380" i="1" s="1"/>
  <c r="N380" i="1"/>
  <c r="M380" i="1"/>
  <c r="O379" i="1" a="1"/>
  <c r="O379" i="1" s="1"/>
  <c r="N379" i="1"/>
  <c r="M379" i="1"/>
  <c r="O378" i="1" a="1"/>
  <c r="O378" i="1" s="1"/>
  <c r="N378" i="1"/>
  <c r="M378" i="1"/>
  <c r="O377" i="1"/>
  <c r="O377" i="1" a="1"/>
  <c r="N377" i="1"/>
  <c r="M377" i="1"/>
  <c r="O376" i="1" a="1"/>
  <c r="O376" i="1" s="1"/>
  <c r="N376" i="1"/>
  <c r="M376" i="1"/>
  <c r="O375" i="1" a="1"/>
  <c r="O375" i="1" s="1"/>
  <c r="N375" i="1"/>
  <c r="M375" i="1"/>
  <c r="O374" i="1"/>
  <c r="O374" i="1" a="1"/>
  <c r="N374" i="1"/>
  <c r="M374" i="1"/>
  <c r="O373" i="1"/>
  <c r="O373" i="1" a="1"/>
  <c r="N373" i="1"/>
  <c r="M373" i="1"/>
  <c r="O372" i="1" a="1"/>
  <c r="O372" i="1" s="1"/>
  <c r="N372" i="1"/>
  <c r="M372" i="1"/>
  <c r="O371" i="1"/>
  <c r="O371" i="1" a="1"/>
  <c r="N371" i="1"/>
  <c r="M371" i="1"/>
  <c r="O370" i="1"/>
  <c r="O370" i="1" a="1"/>
  <c r="N370" i="1"/>
  <c r="M370" i="1"/>
  <c r="O369" i="1" a="1"/>
  <c r="O369" i="1" s="1"/>
  <c r="N369" i="1"/>
  <c r="M369" i="1"/>
  <c r="O368" i="1" a="1"/>
  <c r="O368" i="1" s="1"/>
  <c r="N368" i="1"/>
  <c r="M368" i="1"/>
  <c r="O367" i="1" a="1"/>
  <c r="O367" i="1" s="1"/>
  <c r="N367" i="1"/>
  <c r="M367" i="1"/>
  <c r="O366" i="1"/>
  <c r="O366" i="1" a="1"/>
  <c r="N366" i="1"/>
  <c r="M366" i="1"/>
  <c r="O365" i="1" a="1"/>
  <c r="O365" i="1" s="1"/>
  <c r="N365" i="1"/>
  <c r="M365" i="1"/>
  <c r="O364" i="1" a="1"/>
  <c r="O364" i="1" s="1"/>
  <c r="N364" i="1"/>
  <c r="M364" i="1"/>
  <c r="O363" i="1"/>
  <c r="O363" i="1" a="1"/>
  <c r="N363" i="1"/>
  <c r="M363" i="1"/>
  <c r="O362" i="1" a="1"/>
  <c r="O362" i="1" s="1"/>
  <c r="N362" i="1"/>
  <c r="M362" i="1"/>
  <c r="O361" i="1"/>
  <c r="O361" i="1" a="1"/>
  <c r="N361" i="1"/>
  <c r="M361" i="1"/>
  <c r="O360" i="1" a="1"/>
  <c r="O360" i="1" s="1"/>
  <c r="N360" i="1"/>
  <c r="M360" i="1"/>
  <c r="O359" i="1" a="1"/>
  <c r="O359" i="1" s="1"/>
  <c r="N359" i="1"/>
  <c r="M359" i="1"/>
  <c r="O358" i="1" a="1"/>
  <c r="O358" i="1" s="1"/>
  <c r="N358" i="1"/>
  <c r="M358" i="1"/>
  <c r="O357" i="1" a="1"/>
  <c r="O357" i="1" s="1"/>
  <c r="N357" i="1"/>
  <c r="M357" i="1"/>
  <c r="O356" i="1"/>
  <c r="O356" i="1" a="1"/>
  <c r="N356" i="1"/>
  <c r="M356" i="1"/>
  <c r="O355" i="1" a="1"/>
  <c r="O355" i="1" s="1"/>
  <c r="N355" i="1"/>
  <c r="M355" i="1"/>
  <c r="O354" i="1" a="1"/>
  <c r="O354" i="1" s="1"/>
  <c r="N354" i="1"/>
  <c r="M354" i="1"/>
  <c r="O353" i="1"/>
  <c r="O353" i="1" a="1"/>
  <c r="N353" i="1"/>
  <c r="M353" i="1"/>
  <c r="O352" i="1" a="1"/>
  <c r="O352" i="1" s="1"/>
  <c r="N352" i="1"/>
  <c r="M352" i="1"/>
  <c r="O351" i="1" a="1"/>
  <c r="O351" i="1" s="1"/>
  <c r="N351" i="1"/>
  <c r="M351" i="1"/>
  <c r="O350" i="1"/>
  <c r="O350" i="1" a="1"/>
  <c r="N350" i="1"/>
  <c r="M350" i="1"/>
  <c r="O349" i="1"/>
  <c r="O349" i="1" a="1"/>
  <c r="N349" i="1"/>
  <c r="M349" i="1"/>
  <c r="O348" i="1" a="1"/>
  <c r="O348" i="1" s="1"/>
  <c r="N348" i="1"/>
  <c r="M348" i="1"/>
  <c r="O347" i="1"/>
  <c r="O347" i="1" a="1"/>
  <c r="N347" i="1"/>
  <c r="M347" i="1"/>
  <c r="O346" i="1" a="1"/>
  <c r="O346" i="1" s="1"/>
  <c r="N346" i="1"/>
  <c r="M346" i="1"/>
  <c r="O345" i="1"/>
  <c r="O345" i="1" a="1"/>
  <c r="N345" i="1"/>
  <c r="M345" i="1"/>
  <c r="O344" i="1"/>
  <c r="O344" i="1" a="1"/>
  <c r="N344" i="1"/>
  <c r="M344" i="1"/>
  <c r="O343" i="1"/>
  <c r="O343" i="1" a="1"/>
  <c r="N343" i="1"/>
  <c r="M343" i="1"/>
  <c r="O342" i="1"/>
  <c r="O342" i="1" a="1"/>
  <c r="N342" i="1"/>
  <c r="M342" i="1"/>
  <c r="O341" i="1" a="1"/>
  <c r="O341" i="1" s="1"/>
  <c r="N341" i="1"/>
  <c r="M341" i="1"/>
  <c r="O340" i="1"/>
  <c r="O340" i="1" a="1"/>
  <c r="N340" i="1"/>
  <c r="M340" i="1"/>
  <c r="O339" i="1" a="1"/>
  <c r="O339" i="1" s="1"/>
  <c r="N339" i="1"/>
  <c r="M339" i="1"/>
  <c r="O338" i="1" a="1"/>
  <c r="O338" i="1" s="1"/>
  <c r="N338" i="1"/>
  <c r="M338" i="1"/>
  <c r="O337" i="1" a="1"/>
  <c r="O337" i="1" s="1"/>
  <c r="N337" i="1"/>
  <c r="M337" i="1"/>
  <c r="O336" i="1"/>
  <c r="O336" i="1" a="1"/>
  <c r="N336" i="1"/>
  <c r="M336" i="1"/>
  <c r="O335" i="1"/>
  <c r="O335" i="1" a="1"/>
  <c r="N335" i="1"/>
  <c r="M335" i="1"/>
  <c r="O334" i="1" a="1"/>
  <c r="O334" i="1" s="1"/>
  <c r="N334" i="1"/>
  <c r="M334" i="1"/>
  <c r="O333" i="1" a="1"/>
  <c r="O333" i="1" s="1"/>
  <c r="N333" i="1"/>
  <c r="M333" i="1"/>
  <c r="O332" i="1"/>
  <c r="O332" i="1" a="1"/>
  <c r="N332" i="1"/>
  <c r="M332" i="1"/>
  <c r="O331" i="1" a="1"/>
  <c r="O331" i="1" s="1"/>
  <c r="N331" i="1"/>
  <c r="M331" i="1"/>
  <c r="O330" i="1" a="1"/>
  <c r="O330" i="1" s="1"/>
  <c r="N330" i="1"/>
  <c r="M330" i="1"/>
  <c r="O329" i="1" a="1"/>
  <c r="O329" i="1" s="1"/>
  <c r="N329" i="1"/>
  <c r="M329" i="1"/>
  <c r="O328" i="1"/>
  <c r="O328" i="1" a="1"/>
  <c r="N328" i="1"/>
  <c r="M328" i="1"/>
  <c r="O327" i="1" a="1"/>
  <c r="O327" i="1" s="1"/>
  <c r="N327" i="1"/>
  <c r="M327" i="1"/>
  <c r="O326" i="1" a="1"/>
  <c r="O326" i="1" s="1"/>
  <c r="N326" i="1"/>
  <c r="M326" i="1"/>
  <c r="O325" i="1"/>
  <c r="O325" i="1" a="1"/>
  <c r="N325" i="1"/>
  <c r="M325" i="1"/>
  <c r="O324" i="1" a="1"/>
  <c r="O324" i="1" s="1"/>
  <c r="N324" i="1"/>
  <c r="M324" i="1"/>
  <c r="O323" i="1" a="1"/>
  <c r="O323" i="1" s="1"/>
  <c r="N323" i="1"/>
  <c r="M323" i="1"/>
  <c r="O322" i="1" a="1"/>
  <c r="O322" i="1" s="1"/>
  <c r="N322" i="1"/>
  <c r="M322" i="1"/>
  <c r="O321" i="1" a="1"/>
  <c r="O321" i="1" s="1"/>
  <c r="N321" i="1"/>
  <c r="M321" i="1"/>
  <c r="O320" i="1"/>
  <c r="O320" i="1" a="1"/>
  <c r="N320" i="1"/>
  <c r="M320" i="1"/>
  <c r="O319" i="1" a="1"/>
  <c r="O319" i="1" s="1"/>
  <c r="N319" i="1"/>
  <c r="M319" i="1"/>
  <c r="O318" i="1"/>
  <c r="O318" i="1" a="1"/>
  <c r="N318" i="1"/>
  <c r="M318" i="1"/>
  <c r="O317" i="1"/>
  <c r="O317" i="1" a="1"/>
  <c r="N317" i="1"/>
  <c r="M317" i="1"/>
  <c r="O316" i="1" a="1"/>
  <c r="O316" i="1" s="1"/>
  <c r="N316" i="1"/>
  <c r="M316" i="1"/>
  <c r="O315" i="1" a="1"/>
  <c r="O315" i="1" s="1"/>
  <c r="N315" i="1"/>
  <c r="M315" i="1"/>
  <c r="O314" i="1"/>
  <c r="O314" i="1" a="1"/>
  <c r="N314" i="1"/>
  <c r="M314" i="1"/>
  <c r="O313" i="1" a="1"/>
  <c r="O313" i="1" s="1"/>
  <c r="N313" i="1"/>
  <c r="M313" i="1"/>
  <c r="O312" i="1" a="1"/>
  <c r="O312" i="1" s="1"/>
  <c r="N312" i="1"/>
  <c r="M312" i="1"/>
  <c r="O311" i="1"/>
  <c r="O311" i="1" a="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c r="O304" i="1" a="1"/>
  <c r="N304" i="1"/>
  <c r="M304" i="1"/>
  <c r="O303" i="1"/>
  <c r="O303" i="1" a="1"/>
  <c r="N303" i="1"/>
  <c r="M303" i="1"/>
  <c r="O302" i="1"/>
  <c r="O302" i="1" a="1"/>
  <c r="N302" i="1"/>
  <c r="M302" i="1"/>
  <c r="O301" i="1" a="1"/>
  <c r="O301" i="1" s="1"/>
  <c r="N301" i="1"/>
  <c r="M301" i="1"/>
  <c r="O300" i="1" a="1"/>
  <c r="O300" i="1" s="1"/>
  <c r="N300" i="1"/>
  <c r="M300" i="1"/>
  <c r="O299" i="1"/>
  <c r="O299" i="1" a="1"/>
  <c r="N299" i="1"/>
  <c r="M299" i="1"/>
  <c r="O298" i="1" a="1"/>
  <c r="O298" i="1" s="1"/>
  <c r="N298" i="1"/>
  <c r="M298" i="1"/>
  <c r="O297" i="1"/>
  <c r="O297" i="1" a="1"/>
  <c r="N297" i="1"/>
  <c r="M297" i="1"/>
  <c r="O296" i="1" a="1"/>
  <c r="O296" i="1" s="1"/>
  <c r="N296" i="1"/>
  <c r="M296" i="1"/>
  <c r="O295" i="1" a="1"/>
  <c r="O295" i="1" s="1"/>
  <c r="N295" i="1"/>
  <c r="M295" i="1"/>
  <c r="O294" i="1" a="1"/>
  <c r="O294" i="1" s="1"/>
  <c r="N294" i="1"/>
  <c r="M294" i="1"/>
  <c r="O293" i="1"/>
  <c r="O293" i="1" a="1"/>
  <c r="N293" i="1"/>
  <c r="M293" i="1"/>
  <c r="O292" i="1" a="1"/>
  <c r="O292" i="1" s="1"/>
  <c r="N292" i="1"/>
  <c r="M292" i="1"/>
  <c r="O291" i="1" a="1"/>
  <c r="O291" i="1" s="1"/>
  <c r="N291" i="1"/>
  <c r="M291" i="1"/>
  <c r="O290" i="1"/>
  <c r="O290" i="1" a="1"/>
  <c r="N290" i="1"/>
  <c r="M290" i="1"/>
  <c r="O289" i="1" a="1"/>
  <c r="O289" i="1" s="1"/>
  <c r="N289" i="1"/>
  <c r="M289" i="1"/>
  <c r="O288" i="1"/>
  <c r="O288" i="1" a="1"/>
  <c r="N288" i="1"/>
  <c r="M288" i="1"/>
  <c r="O287" i="1" a="1"/>
  <c r="O287" i="1" s="1"/>
  <c r="N287" i="1"/>
  <c r="M287" i="1"/>
  <c r="O286" i="1" a="1"/>
  <c r="O286" i="1" s="1"/>
  <c r="N286" i="1"/>
  <c r="M286" i="1"/>
  <c r="O285" i="1" a="1"/>
  <c r="O285" i="1" s="1"/>
  <c r="N285" i="1"/>
  <c r="M285" i="1"/>
  <c r="O284" i="1" a="1"/>
  <c r="O284" i="1" s="1"/>
  <c r="N284" i="1"/>
  <c r="M284" i="1"/>
  <c r="O283" i="1"/>
  <c r="O283" i="1" a="1"/>
  <c r="N283" i="1"/>
  <c r="M283" i="1"/>
  <c r="O282" i="1" a="1"/>
  <c r="O282" i="1" s="1"/>
  <c r="N282" i="1"/>
  <c r="M282" i="1"/>
  <c r="O281" i="1" a="1"/>
  <c r="O281" i="1" s="1"/>
  <c r="N281" i="1"/>
  <c r="M281" i="1"/>
  <c r="O280" i="1" a="1"/>
  <c r="O280" i="1" s="1"/>
  <c r="N280" i="1"/>
  <c r="M280" i="1"/>
  <c r="O279" i="1" a="1"/>
  <c r="O279" i="1" s="1"/>
  <c r="N279" i="1"/>
  <c r="M279" i="1"/>
  <c r="O278" i="1"/>
  <c r="O278" i="1" a="1"/>
  <c r="N278" i="1"/>
  <c r="M278" i="1"/>
  <c r="O277" i="1" a="1"/>
  <c r="O277" i="1" s="1"/>
  <c r="N277" i="1"/>
  <c r="M277" i="1"/>
  <c r="O276" i="1"/>
  <c r="O276" i="1" a="1"/>
  <c r="N276" i="1"/>
  <c r="M276" i="1"/>
  <c r="O275" i="1"/>
  <c r="O275" i="1" a="1"/>
  <c r="N275" i="1"/>
  <c r="M275" i="1"/>
  <c r="O274" i="1" a="1"/>
  <c r="O274" i="1" s="1"/>
  <c r="N274" i="1"/>
  <c r="M274" i="1"/>
  <c r="O273" i="1" a="1"/>
  <c r="O273" i="1" s="1"/>
  <c r="N273" i="1"/>
  <c r="M273" i="1"/>
  <c r="O272" i="1"/>
  <c r="O272" i="1" a="1"/>
  <c r="N272" i="1"/>
  <c r="M272" i="1"/>
  <c r="O271" i="1" a="1"/>
  <c r="O271" i="1" s="1"/>
  <c r="N271" i="1"/>
  <c r="M271" i="1"/>
  <c r="O270" i="1" a="1"/>
  <c r="O270" i="1" s="1"/>
  <c r="N270" i="1"/>
  <c r="M270" i="1"/>
  <c r="O269" i="1"/>
  <c r="O269" i="1" a="1"/>
  <c r="N269" i="1"/>
  <c r="M269" i="1"/>
  <c r="O268" i="1"/>
  <c r="O268" i="1" a="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c r="O262" i="1" a="1"/>
  <c r="N262" i="1"/>
  <c r="M262" i="1"/>
  <c r="O261" i="1" a="1"/>
  <c r="O261" i="1" s="1"/>
  <c r="N261" i="1"/>
  <c r="M261" i="1"/>
  <c r="O260" i="1"/>
  <c r="O260" i="1" a="1"/>
  <c r="N260" i="1"/>
  <c r="M260" i="1"/>
  <c r="O259" i="1" a="1"/>
  <c r="O259" i="1" s="1"/>
  <c r="N259" i="1"/>
  <c r="M259" i="1"/>
  <c r="O258" i="1" a="1"/>
  <c r="O258" i="1" s="1"/>
  <c r="N258" i="1"/>
  <c r="M258" i="1"/>
  <c r="O257" i="1"/>
  <c r="O257" i="1" a="1"/>
  <c r="N257" i="1"/>
  <c r="M257" i="1"/>
  <c r="O256" i="1" a="1"/>
  <c r="O256" i="1" s="1"/>
  <c r="N256" i="1"/>
  <c r="M256" i="1"/>
  <c r="O255" i="1" a="1"/>
  <c r="O255" i="1" s="1"/>
  <c r="N255" i="1"/>
  <c r="M255" i="1"/>
  <c r="O254" i="1" a="1"/>
  <c r="O254" i="1" s="1"/>
  <c r="N254" i="1"/>
  <c r="M254" i="1"/>
  <c r="O253" i="1"/>
  <c r="O253" i="1" a="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c r="O237" i="1" a="1"/>
  <c r="N237" i="1"/>
  <c r="M237" i="1"/>
  <c r="O236" i="1" a="1"/>
  <c r="O236" i="1" s="1"/>
  <c r="N236" i="1"/>
  <c r="M236" i="1"/>
  <c r="O235" i="1" a="1"/>
  <c r="O235" i="1" s="1"/>
  <c r="N235" i="1"/>
  <c r="M235" i="1"/>
  <c r="O234" i="1"/>
  <c r="O234" i="1" a="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c r="O220" i="1" a="1"/>
  <c r="N220" i="1"/>
  <c r="M220" i="1"/>
  <c r="O219" i="1"/>
  <c r="O219" i="1" a="1"/>
  <c r="N219" i="1"/>
  <c r="M219" i="1"/>
  <c r="O218" i="1" a="1"/>
  <c r="O218" i="1" s="1"/>
  <c r="N218" i="1"/>
  <c r="M218" i="1"/>
  <c r="O217" i="1" a="1"/>
  <c r="O217" i="1" s="1"/>
  <c r="N217" i="1"/>
  <c r="M217" i="1"/>
  <c r="O216" i="1"/>
  <c r="O216" i="1" a="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c r="O205" i="1" a="1"/>
  <c r="N205" i="1"/>
  <c r="M205" i="1"/>
  <c r="O204" i="1"/>
  <c r="O204" i="1" a="1"/>
  <c r="N204" i="1"/>
  <c r="M204" i="1"/>
  <c r="O203" i="1" a="1"/>
  <c r="O203" i="1" s="1"/>
  <c r="N203" i="1"/>
  <c r="M203" i="1"/>
  <c r="O202" i="1" a="1"/>
  <c r="O202" i="1" s="1"/>
  <c r="N202" i="1"/>
  <c r="M202" i="1"/>
  <c r="O201" i="1"/>
  <c r="O201" i="1" a="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c r="O195" i="1" a="1"/>
  <c r="N195" i="1"/>
  <c r="M195" i="1"/>
  <c r="O194" i="1" a="1"/>
  <c r="O194" i="1" s="1"/>
  <c r="N194" i="1"/>
  <c r="M194" i="1"/>
  <c r="O193" i="1" a="1"/>
  <c r="O193" i="1" s="1"/>
  <c r="N193" i="1"/>
  <c r="M193" i="1"/>
  <c r="O192" i="1"/>
  <c r="O192" i="1" a="1"/>
  <c r="N192" i="1"/>
  <c r="M192" i="1"/>
  <c r="O191" i="1" a="1"/>
  <c r="O191" i="1" s="1"/>
  <c r="N191" i="1"/>
  <c r="M191" i="1"/>
  <c r="O190" i="1"/>
  <c r="O190" i="1" a="1"/>
  <c r="N190" i="1"/>
  <c r="M190" i="1"/>
  <c r="O189" i="1" a="1"/>
  <c r="O189" i="1" s="1"/>
  <c r="N189" i="1"/>
  <c r="M189" i="1"/>
  <c r="O188" i="1" a="1"/>
  <c r="O188" i="1" s="1"/>
  <c r="N188" i="1"/>
  <c r="M188" i="1"/>
  <c r="O187" i="1" a="1"/>
  <c r="O187" i="1" s="1"/>
  <c r="N187" i="1"/>
  <c r="M187" i="1"/>
  <c r="O186" i="1" a="1"/>
  <c r="O186" i="1" s="1"/>
  <c r="N186" i="1"/>
  <c r="M186" i="1"/>
  <c r="O185" i="1"/>
  <c r="O185" i="1" a="1"/>
  <c r="N185" i="1"/>
  <c r="M185" i="1"/>
  <c r="O184" i="1" a="1"/>
  <c r="O184" i="1" s="1"/>
  <c r="N184" i="1"/>
  <c r="M184" i="1"/>
  <c r="O183" i="1" a="1"/>
  <c r="O183" i="1" s="1"/>
  <c r="N183" i="1"/>
  <c r="M183" i="1"/>
  <c r="O182" i="1" a="1"/>
  <c r="O182" i="1" s="1"/>
  <c r="N182" i="1"/>
  <c r="M182" i="1"/>
  <c r="O181" i="1" a="1"/>
  <c r="O181" i="1" s="1"/>
  <c r="N181" i="1"/>
  <c r="M181" i="1"/>
  <c r="O180" i="1"/>
  <c r="O180" i="1" a="1"/>
  <c r="N180" i="1"/>
  <c r="M180" i="1"/>
  <c r="O179" i="1" a="1"/>
  <c r="O179" i="1" s="1"/>
  <c r="N179" i="1"/>
  <c r="M179" i="1"/>
  <c r="O178" i="1" a="1"/>
  <c r="O178" i="1" s="1"/>
  <c r="N178" i="1"/>
  <c r="M178" i="1"/>
  <c r="O177" i="1"/>
  <c r="O177" i="1" a="1"/>
  <c r="N177" i="1"/>
  <c r="M177" i="1"/>
  <c r="O176" i="1" a="1"/>
  <c r="O176" i="1" s="1"/>
  <c r="N176" i="1"/>
  <c r="M176" i="1"/>
  <c r="O175" i="1" a="1"/>
  <c r="O175" i="1" s="1"/>
  <c r="N175" i="1"/>
  <c r="M175" i="1"/>
  <c r="O174" i="1"/>
  <c r="O174" i="1" a="1"/>
  <c r="N174" i="1"/>
  <c r="M174" i="1"/>
  <c r="O173" i="1" a="1"/>
  <c r="O173" i="1" s="1"/>
  <c r="N173" i="1"/>
  <c r="M173" i="1"/>
  <c r="O172" i="1" a="1"/>
  <c r="O172" i="1" s="1"/>
  <c r="N172" i="1"/>
  <c r="M172" i="1"/>
  <c r="O171" i="1" a="1"/>
  <c r="O171" i="1" s="1"/>
  <c r="N171" i="1"/>
  <c r="M171" i="1"/>
  <c r="O170" i="1"/>
  <c r="O170" i="1" a="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c r="O162" i="1" a="1"/>
  <c r="N162" i="1"/>
  <c r="M162" i="1"/>
  <c r="O161" i="1" a="1"/>
  <c r="O161" i="1" s="1"/>
  <c r="N161" i="1"/>
  <c r="M161" i="1"/>
  <c r="O160" i="1" a="1"/>
  <c r="O160" i="1" s="1"/>
  <c r="N160" i="1"/>
  <c r="M160" i="1"/>
  <c r="O159" i="1"/>
  <c r="O159" i="1" a="1"/>
  <c r="N159" i="1"/>
  <c r="M159" i="1"/>
  <c r="O158" i="1" a="1"/>
  <c r="O158" i="1" s="1"/>
  <c r="N158" i="1"/>
  <c r="M158" i="1"/>
  <c r="O157" i="1"/>
  <c r="O157" i="1" a="1"/>
  <c r="N157" i="1"/>
  <c r="M157" i="1"/>
  <c r="O156" i="1" a="1"/>
  <c r="O156" i="1" s="1"/>
  <c r="N156" i="1"/>
  <c r="M156" i="1"/>
  <c r="O155" i="1"/>
  <c r="O155" i="1" a="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c r="O142" i="1" a="1"/>
  <c r="N142" i="1"/>
  <c r="M142" i="1"/>
  <c r="O141" i="1" a="1"/>
  <c r="O141" i="1" s="1"/>
  <c r="N141" i="1"/>
  <c r="M141" i="1"/>
  <c r="O140" i="1" a="1"/>
  <c r="O140" i="1" s="1"/>
  <c r="N140" i="1"/>
  <c r="M140" i="1"/>
  <c r="O139" i="1"/>
  <c r="O139" i="1" a="1"/>
  <c r="N139" i="1"/>
  <c r="M139" i="1"/>
  <c r="O138" i="1" a="1"/>
  <c r="O138" i="1" s="1"/>
  <c r="N138" i="1"/>
  <c r="M138" i="1"/>
  <c r="O137" i="1" a="1"/>
  <c r="O137" i="1" s="1"/>
  <c r="N137" i="1"/>
  <c r="M137" i="1"/>
  <c r="O136" i="1"/>
  <c r="O136" i="1" a="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c r="O127" i="1" a="1"/>
  <c r="N127" i="1"/>
  <c r="M127" i="1"/>
  <c r="O126" i="1" a="1"/>
  <c r="O126" i="1" s="1"/>
  <c r="N126" i="1"/>
  <c r="M126" i="1"/>
  <c r="O125" i="1" a="1"/>
  <c r="O125" i="1" s="1"/>
  <c r="N125" i="1"/>
  <c r="M125" i="1"/>
  <c r="O124" i="1"/>
  <c r="O124" i="1" a="1"/>
  <c r="N124" i="1"/>
  <c r="M124" i="1"/>
  <c r="O123" i="1" a="1"/>
  <c r="O123" i="1" s="1"/>
  <c r="N123" i="1"/>
  <c r="M123" i="1"/>
  <c r="O122" i="1"/>
  <c r="O122" i="1" a="1"/>
  <c r="N122" i="1"/>
  <c r="M122" i="1"/>
  <c r="O121" i="1"/>
  <c r="O121" i="1" a="1"/>
  <c r="N121" i="1"/>
  <c r="M121" i="1"/>
  <c r="O120" i="1" a="1"/>
  <c r="O120" i="1" s="1"/>
  <c r="N120" i="1"/>
  <c r="M120" i="1"/>
  <c r="O119" i="1" a="1"/>
  <c r="O119" i="1" s="1"/>
  <c r="N119" i="1"/>
  <c r="M119" i="1"/>
  <c r="O118" i="1"/>
  <c r="O118" i="1" a="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c r="O107" i="1" a="1"/>
  <c r="N107" i="1"/>
  <c r="M107" i="1"/>
  <c r="O106" i="1"/>
  <c r="O106" i="1" a="1"/>
  <c r="N106" i="1"/>
  <c r="M106" i="1"/>
  <c r="O105" i="1" a="1"/>
  <c r="O105" i="1" s="1"/>
  <c r="N105" i="1"/>
  <c r="M105" i="1"/>
  <c r="O104" i="1" a="1"/>
  <c r="O104" i="1" s="1"/>
  <c r="N104" i="1"/>
  <c r="M104" i="1"/>
  <c r="O103" i="1"/>
  <c r="O103" i="1" a="1"/>
  <c r="N103" i="1"/>
  <c r="M103" i="1"/>
  <c r="O102" i="1" a="1"/>
  <c r="O102" i="1" s="1"/>
  <c r="N102" i="1"/>
  <c r="M102" i="1"/>
  <c r="O101" i="1" a="1"/>
  <c r="O101" i="1" s="1"/>
  <c r="N101" i="1"/>
  <c r="M101" i="1"/>
  <c r="O100" i="1" a="1"/>
  <c r="O100" i="1" s="1"/>
  <c r="N100" i="1"/>
  <c r="M100" i="1"/>
  <c r="O99" i="1" a="1"/>
  <c r="O99" i="1" s="1"/>
  <c r="N99" i="1"/>
  <c r="M99" i="1"/>
  <c r="O98" i="1" a="1"/>
  <c r="O98" i="1" s="1"/>
  <c r="N98" i="1"/>
  <c r="M98" i="1"/>
  <c r="O97" i="1"/>
  <c r="O97" i="1" a="1"/>
  <c r="N97" i="1"/>
  <c r="M97" i="1"/>
  <c r="O96" i="1" a="1"/>
  <c r="O96" i="1" s="1"/>
  <c r="N96" i="1"/>
  <c r="M96" i="1"/>
  <c r="O95" i="1" a="1"/>
  <c r="O95" i="1" s="1"/>
  <c r="N95" i="1"/>
  <c r="M95" i="1"/>
  <c r="O94" i="1"/>
  <c r="O94" i="1" a="1"/>
  <c r="N94" i="1"/>
  <c r="M94" i="1"/>
  <c r="O93" i="1" a="1"/>
  <c r="O93" i="1" s="1"/>
  <c r="N93" i="1"/>
  <c r="M93" i="1"/>
  <c r="O92" i="1"/>
  <c r="O92" i="1" a="1"/>
  <c r="N92" i="1"/>
  <c r="M92" i="1"/>
  <c r="O91" i="1" a="1"/>
  <c r="O91" i="1" s="1"/>
  <c r="N91" i="1"/>
  <c r="M91" i="1"/>
  <c r="O90" i="1" a="1"/>
  <c r="O90" i="1" s="1"/>
  <c r="N90" i="1"/>
  <c r="M90" i="1"/>
  <c r="O89" i="1" a="1"/>
  <c r="O89" i="1" s="1"/>
  <c r="N89" i="1"/>
  <c r="M89" i="1"/>
  <c r="O88" i="1" a="1"/>
  <c r="O88" i="1" s="1"/>
  <c r="N88" i="1"/>
  <c r="M88" i="1"/>
  <c r="O87" i="1"/>
  <c r="O87" i="1" a="1"/>
  <c r="N87" i="1"/>
  <c r="M87" i="1"/>
  <c r="O86" i="1" a="1"/>
  <c r="O86" i="1" s="1"/>
  <c r="N86" i="1"/>
  <c r="M86" i="1"/>
  <c r="O85" i="1" a="1"/>
  <c r="O85" i="1" s="1"/>
  <c r="N85" i="1"/>
  <c r="M85" i="1"/>
  <c r="O84" i="1" a="1"/>
  <c r="O84" i="1" s="1"/>
  <c r="N84" i="1"/>
  <c r="M84" i="1"/>
  <c r="O83" i="1" a="1"/>
  <c r="O83" i="1" s="1"/>
  <c r="N83" i="1"/>
  <c r="M83" i="1"/>
  <c r="O82" i="1"/>
  <c r="O82" i="1" a="1"/>
  <c r="N82" i="1"/>
  <c r="M82" i="1"/>
  <c r="O81" i="1" a="1"/>
  <c r="O81" i="1" s="1"/>
  <c r="N81" i="1"/>
  <c r="M81" i="1"/>
  <c r="O80" i="1" a="1"/>
  <c r="O80" i="1" s="1"/>
  <c r="N80" i="1"/>
  <c r="M80" i="1"/>
  <c r="O79" i="1"/>
  <c r="O79" i="1" a="1"/>
  <c r="N79" i="1"/>
  <c r="M79" i="1"/>
  <c r="O78" i="1" a="1"/>
  <c r="O78" i="1" s="1"/>
  <c r="N78" i="1"/>
  <c r="M78" i="1"/>
  <c r="O77" i="1" a="1"/>
  <c r="O77" i="1" s="1"/>
  <c r="N77" i="1"/>
  <c r="M77" i="1"/>
  <c r="O76" i="1"/>
  <c r="O76" i="1" a="1"/>
  <c r="N76" i="1"/>
  <c r="M76" i="1"/>
  <c r="O75" i="1" a="1"/>
  <c r="O75" i="1" s="1"/>
  <c r="N75" i="1"/>
  <c r="M75" i="1"/>
  <c r="O74" i="1" a="1"/>
  <c r="O74" i="1" s="1"/>
  <c r="N74" i="1"/>
  <c r="M74" i="1"/>
  <c r="O73" i="1" a="1"/>
  <c r="O73" i="1" s="1"/>
  <c r="N73" i="1"/>
  <c r="M73" i="1"/>
  <c r="O72" i="1"/>
  <c r="O72" i="1" a="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c r="O64" i="1" a="1"/>
  <c r="N64" i="1"/>
  <c r="M64" i="1"/>
  <c r="O63" i="1" a="1"/>
  <c r="O63" i="1" s="1"/>
  <c r="N63" i="1"/>
  <c r="M63" i="1"/>
  <c r="O62" i="1" a="1"/>
  <c r="O62" i="1" s="1"/>
  <c r="N62" i="1"/>
  <c r="M62" i="1"/>
  <c r="O61" i="1"/>
  <c r="O61" i="1" a="1"/>
  <c r="N61" i="1"/>
  <c r="M61" i="1"/>
  <c r="O60" i="1" a="1"/>
  <c r="O60" i="1" s="1"/>
  <c r="N60" i="1"/>
  <c r="M60" i="1"/>
  <c r="O59" i="1"/>
  <c r="O59" i="1" a="1"/>
  <c r="N59" i="1"/>
  <c r="M59" i="1"/>
  <c r="O58" i="1" a="1"/>
  <c r="O58" i="1" s="1"/>
  <c r="N58" i="1"/>
  <c r="M58" i="1"/>
  <c r="O57" i="1"/>
  <c r="O57" i="1" a="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c r="O44" i="1" a="1"/>
  <c r="N44" i="1"/>
  <c r="M44" i="1"/>
  <c r="O43" i="1" a="1"/>
  <c r="O43" i="1" s="1"/>
  <c r="N43" i="1"/>
  <c r="M43" i="1"/>
  <c r="O42" i="1" a="1"/>
  <c r="O42" i="1" s="1"/>
  <c r="N42" i="1"/>
  <c r="M42" i="1"/>
  <c r="O41" i="1"/>
  <c r="O41" i="1" a="1"/>
  <c r="N41" i="1"/>
  <c r="M41" i="1"/>
  <c r="O40" i="1" a="1"/>
  <c r="O40" i="1" s="1"/>
  <c r="N40" i="1"/>
  <c r="M40" i="1"/>
  <c r="O39" i="1" a="1"/>
  <c r="O39" i="1" s="1"/>
  <c r="N39" i="1"/>
  <c r="M39" i="1"/>
  <c r="O38" i="1"/>
  <c r="O38" i="1" a="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c r="O29" i="1" a="1"/>
  <c r="N29" i="1"/>
  <c r="M29" i="1"/>
  <c r="O28" i="1" a="1"/>
  <c r="O28" i="1" s="1"/>
  <c r="N28" i="1"/>
  <c r="M28" i="1"/>
  <c r="O27" i="1" a="1"/>
  <c r="O27" i="1" s="1"/>
  <c r="N27" i="1"/>
  <c r="M27" i="1"/>
  <c r="O26" i="1" a="1"/>
  <c r="O26" i="1" s="1"/>
  <c r="N26" i="1"/>
  <c r="M26" i="1"/>
  <c r="O25" i="1" a="1"/>
  <c r="O25" i="1" s="1"/>
  <c r="N25" i="1"/>
  <c r="M25" i="1"/>
  <c r="O24" i="1"/>
  <c r="O24" i="1" a="1"/>
  <c r="N24" i="1"/>
  <c r="M24" i="1"/>
  <c r="O23" i="1"/>
  <c r="O23" i="1" a="1"/>
  <c r="N23" i="1"/>
  <c r="M23" i="1"/>
  <c r="O22" i="1" a="1"/>
  <c r="O22" i="1" s="1"/>
  <c r="N22" i="1"/>
  <c r="M22" i="1"/>
  <c r="O21" i="1" a="1"/>
  <c r="O21" i="1" s="1"/>
  <c r="N21" i="1"/>
  <c r="M21" i="1"/>
  <c r="O20" i="1"/>
  <c r="O20" i="1" a="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c r="O9" i="1" a="1"/>
  <c r="N9" i="1"/>
  <c r="M9" i="1"/>
  <c r="O8" i="1"/>
  <c r="O8" i="1" a="1"/>
  <c r="N8" i="1"/>
  <c r="M8" i="1"/>
  <c r="O7" i="1" a="1"/>
  <c r="O7" i="1" s="1"/>
  <c r="N7" i="1"/>
  <c r="M7" i="1"/>
  <c r="O6" i="1" a="1"/>
  <c r="O6" i="1" s="1"/>
  <c r="N6" i="1"/>
  <c r="M6" i="1"/>
  <c r="O5" i="1"/>
  <c r="O5" i="1" a="1"/>
  <c r="N5" i="1"/>
  <c r="M5" i="1"/>
  <c r="O4" i="1" a="1"/>
  <c r="O4" i="1" s="1"/>
  <c r="N4" i="1"/>
  <c r="M4" i="1"/>
  <c r="O3" i="1" a="1"/>
  <c r="O3" i="1" s="1"/>
  <c r="N3" i="1"/>
  <c r="M3" i="1"/>
  <c r="O2" i="1" a="1"/>
  <c r="O2" i="1" s="1"/>
  <c r="N2" i="1"/>
  <c r="M2"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<sst xmlns="http://schemas.openxmlformats.org/spreadsheetml/2006/main" count="14736" uniqueCount="2568">
  <si>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</si>
  <si>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</si>
  <si>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</si>
  <si>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</si>
  <si>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</si>
  <si>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</si>
  <si>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</si>
  <si>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</si>
  <si>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</si>
  <si>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</si>
  <si>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</si>
  <si>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</si>
  <si>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</si>
  <si>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</si>
  <si>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</si>
  <si>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</si>
  <si>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</si>
  <si>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</si>
  <si>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</si>
  <si>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</si>
  <si>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</si>
  <si>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</si>
  <si>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</si>
  <si>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</si>
  <si>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</si>
  <si>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</si>
  <si>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</si>
  <si>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</si>
  <si>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</si>
  <si>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</si>
  <si>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</si>
  <si>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</si>
  <si>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</si>
  <si>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</si>
  <si>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</si>
  <si>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</si>
  <si>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</si>
  <si>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</si>
  <si>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</si>
  <si>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</si>
  <si>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</si>
  <si>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</si>
  <si>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</si>
  <si>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</si>
  <si>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</si>
  <si>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</si>
  <si>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</si>
  <si>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</si>
  <si>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</si>
  <si>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</si>
  <si>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</si>
  <si>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</si>
  <si>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</si>
  <si>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</si>
  <si>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</si>
  <si>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</si>
  <si>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</si>
  <si>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</si>
  <si>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</si>
  <si>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</si>
  <si>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</si>
  <si>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</si>
  <si>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</si>
  <si>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</si>
  <si>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</si>
  <si>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</si>
  <si>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</si>
  <si>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</si>
  <si>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</si>
  <si>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</si>
  <si>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</si>
  <si>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</si>
  <si>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</si>
  <si>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</si>
  <si>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</si>
  <si>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</si>
  <si>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</si>
  <si>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</si>
  <si>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</si>
  <si>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</si>
  <si>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</si>
  <si>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</si>
  <si>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</si>
  <si>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</si>
  <si>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</si>
  <si>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</si>
  <si>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</si>
  <si>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</si>
  <si>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</si>
  <si>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</si>
  <si>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</si>
  <si>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</si>
  <si>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</si>
  <si>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</si>
  <si>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</si>
  <si>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</si>
  <si>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</si>
  <si>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</si>
  <si>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</si>
  <si>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</si>
  <si>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</si>
  <si>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</si>
  <si>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</si>
  <si>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</si>
  <si>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</si>
  <si>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</si>
  <si>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</si>
  <si>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</si>
  <si>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</si>
  <si>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</si>
  <si>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</si>
  <si>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</si>
  <si>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</si>
  <si>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</si>
  <si>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</si>
  <si>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</si>
  <si>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</si>
  <si>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</si>
  <si>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</si>
  <si>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</si>
  <si>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</si>
  <si>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</si>
  <si>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</si>
  <si>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</si>
  <si>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</si>
  <si>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</si>
  <si>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</si>
  <si>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</si>
  <si>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</si>
  <si>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</si>
  <si>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</si>
  <si>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</si>
  <si>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</si>
  <si>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</si>
  <si>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</si>
  <si>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</si>
  <si>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</si>
  <si>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</si>
  <si>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</si>
  <si>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</si>
  <si>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</si>
  <si>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</si>
  <si>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</si>
  <si>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</si>
  <si>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</si>
  <si>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</si>
  <si>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</si>
  <si>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</si>
  <si>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</si>
  <si>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</si>
  <si>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</si>
  <si>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</si>
  <si>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</si>
  <si>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</si>
  <si>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</si>
  <si>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</si>
  <si>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</si>
  <si>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</si>
  <si>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</si>
  <si>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</si>
  <si>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</si>
  <si>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</si>
  <si>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</si>
  <si>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</si>
  <si>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</si>
  <si>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</si>
  <si>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</si>
  <si>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</si>
  <si>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</si>
  <si>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</si>
  <si>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</si>
  <si>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</si>
  <si>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</si>
  <si>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</si>
  <si>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</si>
  <si>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</si>
  <si>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</si>
  <si>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</si>
  <si>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</si>
  <si>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</si>
  <si>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</si>
  <si>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</si>
  <si>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</si>
  <si>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</si>
  <si>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</si>
  <si>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</si>
  <si>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</si>
  <si>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</si>
  <si>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</si>
  <si>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</si>
  <si>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</si>
  <si>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</si>
  <si>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</si>
  <si>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</si>
  <si>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</si>
  <si>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</si>
  <si>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</si>
  <si>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</si>
  <si>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</si>
  <si>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</si>
  <si>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</si>
  <si>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</si>
  <si>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</si>
  <si>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</si>
  <si>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</si>
  <si>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</si>
  <si>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</si>
  <si>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</si>
  <si>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</si>
  <si>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</si>
  <si>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</si>
  <si>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</si>
  <si>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</si>
  <si>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</si>
  <si>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</si>
  <si>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</si>
  <si>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</si>
  <si>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</si>
  <si>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</si>
  <si>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</si>
  <si>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</si>
  <si>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</si>
  <si>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</si>
  <si>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</si>
  <si>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</si>
  <si>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</si>
  <si>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</si>
  <si>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</si>
  <si>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</si>
  <si>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</si>
  <si>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</si>
  <si>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</si>
  <si>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</si>
  <si>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</si>
  <si>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</si>
  <si>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</si>
  <si>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</si>
  <si>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</si>
  <si>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</si>
  <si>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</si>
  <si>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</si>
  <si>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</si>
  <si>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</si>
  <si>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</si>
  <si>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</si>
  <si>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</si>
  <si>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</si>
  <si>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</si>
  <si>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</si>
  <si>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</si>
  <si>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</si>
  <si>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</si>
  <si>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</si>
  <si>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</si>
  <si>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</si>
  <si>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</si>
  <si>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</si>
  <si>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</si>
  <si>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</si>
  <si>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</si>
  <si>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</si>
  <si>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</si>
  <si>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</si>
  <si>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</si>
  <si>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</si>
  <si>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</si>
  <si>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</si>
  <si>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</si>
  <si>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</si>
  <si>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</si>
  <si>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</si>
  <si>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</si>
  <si>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</si>
  <si>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</si>
  <si>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</si>
  <si>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</si>
  <si>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</si>
  <si>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</si>
  <si>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</si>
  <si>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</si>
  <si>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</si>
  <si>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</si>
  <si>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</si>
  <si>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</si>
  <si>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</si>
  <si>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</si>
  <si>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</si>
  <si>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</si>
  <si>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</si>
  <si>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</si>
  <si>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</si>
  <si>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</si>
  <si>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</si>
  <si>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</si>
  <si>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</si>
  <si>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</si>
  <si>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</si>
  <si>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</si>
  <si>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</si>
  <si>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</si>
  <si>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</si>
  <si>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</si>
  <si>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</si>
  <si>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</si>
  <si>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</si>
  <si>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</si>
  <si>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</si>
  <si>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</si>
  <si>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</si>
  <si>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</si>
  <si>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</si>
  <si>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</si>
  <si>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</si>
  <si>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</si>
  <si>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</si>
  <si>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</si>
  <si>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</si>
  <si>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</si>
  <si>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</si>
  <si>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</si>
  <si>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</si>
  <si>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</si>
  <si>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</si>
  <si>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</si>
  <si>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</si>
  <si>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</si>
  <si>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</si>
  <si>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</si>
  <si>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</si>
  <si>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</si>
  <si>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</si>
  <si>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</si>
  <si>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</si>
  <si>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</si>
  <si>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</si>
  <si>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</si>
  <si>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</si>
  <si>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</si>
  <si>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</si>
  <si>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</si>
  <si>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</si>
  <si>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</si>
  <si>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</si>
  <si>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</si>
  <si>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</si>
  <si>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</si>
  <si>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</si>
  <si>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</si>
  <si>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</si>
  <si>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</si>
  <si>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</si>
  <si>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</si>
  <si>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</si>
  <si>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</si>
  <si>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</si>
  <si>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</si>
  <si>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</si>
  <si>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</si>
  <si>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</si>
  <si>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</si>
  <si>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</si>
  <si>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</si>
  <si>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</si>
  <si>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</si>
  <si>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</si>
  <si>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</si>
  <si>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</si>
  <si>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</si>
  <si>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</si>
  <si>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</si>
  <si>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</si>
  <si>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</si>
  <si>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</si>
  <si>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</si>
  <si>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</si>
  <si>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</si>
  <si>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</si>
  <si>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</si>
  <si>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</si>
  <si>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</si>
  <si>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</si>
  <si>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</si>
  <si>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</si>
  <si>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</si>
  <si>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</si>
  <si>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</si>
  <si>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</si>
  <si>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</si>
  <si>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</si>
  <si>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</si>
  <si>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</si>
  <si>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</si>
  <si>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</si>
  <si>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</si>
  <si>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</si>
  <si>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</si>
  <si>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</si>
  <si>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</si>
  <si>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</si>
  <si>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</si>
  <si>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</si>
  <si>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</si>
  <si>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</si>
  <si>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</si>
  <si>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</si>
  <si>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</si>
  <si>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</si>
  <si>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</si>
  <si>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</si>
  <si>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</si>
  <si>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</si>
  <si>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</si>
  <si>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</si>
  <si>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</si>
  <si>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</si>
  <si>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</si>
  <si>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</si>
  <si>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</si>
  <si>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</si>
  <si>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</si>
  <si>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</si>
  <si>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</si>
  <si>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</si>
  <si>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</si>
  <si>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</si>
  <si>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</si>
  <si>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</si>
  <si>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</si>
  <si>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</si>
  <si>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</si>
  <si>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</si>
  <si>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</si>
  <si>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</si>
  <si>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</si>
  <si>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</si>
  <si>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</si>
  <si>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</si>
  <si>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</si>
  <si>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</si>
  <si>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</si>
  <si>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</si>
  <si>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</si>
  <si>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</si>
  <si>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</si>
  <si>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</si>
  <si>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</si>
  <si>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</si>
  <si>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</si>
  <si>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</si>
  <si>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</si>
  <si>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</si>
  <si>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</si>
  <si>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</si>
  <si>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</si>
  <si>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</si>
  <si>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</si>
  <si>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</si>
  <si>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</si>
  <si>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</si>
  <si>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</si>
  <si>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</si>
  <si>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</si>
  <si>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</si>
  <si>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</si>
  <si>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</si>
  <si>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</si>
  <si>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</si>
  <si>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</si>
  <si>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</si>
  <si>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</si>
  <si>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</si>
  <si>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</si>
  <si>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</si>
  <si>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</si>
  <si>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</si>
  <si>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</si>
  <si>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</si>
  <si>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</si>
  <si>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</si>
  <si>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</si>
  <si>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</si>
  <si>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</si>
  <si>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</si>
  <si>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</si>
  <si>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</si>
  <si>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</si>
  <si>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</si>
  <si>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</si>
  <si>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</si>
  <si>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</si>
  <si>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</si>
  <si>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</si>
  <si>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</si>
  <si>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</si>
  <si>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</si>
  <si>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</si>
  <si>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</si>
  <si>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</si>
  <si>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</si>
  <si>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</si>
  <si>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</si>
  <si>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</si>
  <si>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</si>
  <si>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</si>
  <si>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</si>
  <si>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</si>
  <si>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</si>
  <si>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</si>
  <si>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</si>
  <si>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</si>
  <si>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</si>
  <si>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</si>
  <si>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</si>
  <si>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</si>
  <si>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</si>
  <si>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</si>
  <si>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</si>
  <si>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</si>
  <si>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</si>
  <si>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</si>
  <si>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</si>
  <si>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</si>
  <si>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</si>
  <si>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</si>
  <si>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</si>
  <si>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</si>
  <si>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</si>
  <si>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</si>
  <si>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</si>
  <si>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</si>
  <si>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</si>
  <si>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</si>
  <si>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</si>
  <si>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</si>
  <si>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</si>
  <si>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</si>
  <si>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</si>
  <si>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</si>
  <si>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</si>
  <si>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</si>
  <si>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</si>
  <si>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</si>
  <si>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</si>
  <si>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</si>
  <si>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</si>
  <si>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</si>
  <si>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</si>
  <si>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</si>
  <si>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</si>
  <si>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</si>
  <si>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</si>
  <si>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</si>
  <si>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</si>
  <si>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</si>
  <si>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</si>
  <si>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</si>
  <si>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</si>
  <si>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</si>
  <si>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</si>
  <si>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</si>
  <si>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</si>
  <si>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</si>
  <si>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</si>
  <si>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</si>
  <si>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</si>
  <si>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</si>
  <si>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</si>
  <si>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</si>
  <si>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</si>
  <si>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</si>
  <si>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</si>
  <si>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</si>
  <si>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</si>
  <si>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</si>
  <si>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</si>
  <si>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</si>
  <si>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</si>
  <si>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</si>
  <si>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</si>
  <si>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</si>
  <si>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</si>
  <si>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</si>
  <si>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</si>
  <si>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</si>
  <si>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</si>
  <si>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</si>
  <si>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</si>
  <si>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</si>
  <si>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</si>
  <si>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</si>
  <si>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</si>
  <si>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</si>
  <si>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</si>
  <si>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</si>
  <si>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</si>
  <si>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</si>
  <si>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</si>
  <si>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</si>
  <si>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</si>
  <si>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</si>
  <si>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</si>
  <si>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</si>
  <si>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</si>
  <si>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</si>
  <si>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</si>
  <si>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</si>
  <si>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</si>
  <si>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</si>
  <si>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</si>
  <si>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</si>
  <si>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</si>
  <si>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</si>
  <si>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</si>
  <si>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</si>
  <si>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</si>
  <si>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</si>
  <si>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</si>
  <si>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</si>
  <si>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</si>
  <si>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</si>
  <si>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</si>
  <si>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</si>
  <si>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</si>
  <si>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</si>
  <si>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</si>
  <si>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</si>
  <si>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</si>
  <si>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</si>
  <si>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</si>
  <si>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</si>
  <si>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</si>
  <si>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</si>
  <si>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</si>
  <si>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</si>
  <si>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</si>
  <si>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</si>
  <si>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</si>
  <si>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</si>
  <si>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</si>
  <si>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</si>
  <si>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</si>
  <si>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</si>
  <si>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</si>
  <si>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</si>
  <si>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</si>
  <si>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</si>
  <si>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</si>
  <si>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</si>
  <si>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</si>
  <si>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</si>
  <si>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</si>
  <si>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</si>
  <si>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</si>
  <si>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</si>
  <si>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</si>
  <si>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</si>
  <si>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</si>
  <si>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</si>
  <si>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</si>
  <si>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</si>
  <si>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</si>
  <si>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</si>
  <si>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</si>
  <si>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</si>
  <si>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</si>
  <si>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</si>
  <si>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</si>
  <si>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</si>
  <si>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</si>
  <si>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</si>
  <si>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</si>
  <si>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</si>
  <si>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</si>
  <si>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</si>
  <si>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</si>
  <si>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</si>
  <si>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</si>
  <si>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</si>
  <si>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</si>
  <si>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</si>
  <si>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</si>
  <si>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</si>
  <si>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</si>
  <si>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</si>
  <si>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</si>
  <si>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</si>
  <si>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</si>
  <si>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</si>
  <si>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</si>
  <si>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</si>
  <si>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</si>
  <si>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</si>
  <si>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</si>
  <si>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</si>
  <si>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</si>
  <si>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</si>
  <si>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</si>
  <si>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</si>
  <si>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</si>
  <si>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</si>
  <si>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</si>
  <si>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</si>
  <si>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</si>
  <si>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</si>
  <si>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</si>
  <si>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</si>
  <si>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</si>
  <si>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</si>
  <si>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</si>
  <si>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</si>
  <si>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</si>
  <si>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</si>
  <si>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</si>
  <si>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</si>
  <si>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</si>
  <si>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</si>
  <si>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</si>
  <si>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</si>
  <si>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</si>
  <si>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</si>
  <si>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</si>
  <si>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</si>
  <si>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</si>
  <si>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</si>
  <si>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</si>
  <si>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</si>
  <si>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</si>
  <si>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</si>
  <si>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</si>
  <si>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</si>
  <si>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</si>
  <si>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</si>
  <si>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</si>
  <si>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</si>
  <si>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</si>
  <si>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</si>
  <si>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</si>
  <si>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</si>
  <si>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</si>
  <si>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</si>
  <si>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</si>
  <si>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</si>
  <si>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</si>
  <si>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</si>
  <si>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</si>
  <si>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</si>
  <si>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</si>
  <si>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</si>
  <si>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</si>
  <si>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</si>
  <si>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</si>
  <si>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</si>
  <si>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</si>
  <si>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</si>
  <si>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</si>
  <si>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</si>
  <si>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</si>
  <si>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</si>
  <si>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</si>
  <si>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</si>
  <si>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</si>
  <si>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</si>
  <si>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</si>
  <si>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</si>
  <si>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</si>
  <si>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</si>
  <si>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</si>
  <si>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</si>
  <si>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</si>
  <si>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</si>
  <si>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</si>
  <si>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</si>
  <si>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</si>
  <si>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</si>
  <si>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</si>
  <si>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</si>
  <si>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</si>
  <si>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</si>
  <si>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</si>
  <si>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</si>
  <si>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</si>
  <si>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</si>
  <si>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</si>
  <si>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</si>
  <si>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</si>
  <si>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</si>
  <si>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</si>
  <si>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</si>
  <si>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</si>
  <si>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</si>
  <si>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</si>
  <si>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</si>
  <si>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</si>
  <si>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</si>
  <si>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</si>
  <si>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</si>
  <si>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</si>
  <si>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</si>
  <si>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</si>
  <si>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</si>
  <si>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</si>
  <si>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</si>
  <si>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</si>
  <si>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</si>
  <si>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</si>
  <si>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</si>
  <si>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</si>
  <si>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</si>
  <si>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</si>
  <si>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</si>
  <si>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</si>
  <si>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</si>
  <si>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</si>
  <si>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</si>
  <si>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</si>
  <si>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</si>
  <si>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</si>
  <si>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</si>
  <si>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</si>
  <si>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</si>
  <si>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</si>
  <si>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</si>
  <si>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</si>
  <si>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</si>
  <si>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</si>
  <si>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</si>
  <si>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</si>
  <si>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</si>
  <si>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</si>
  <si>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</si>
  <si>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</si>
  <si>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</si>
  <si>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</si>
  <si>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</si>
  <si>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</si>
  <si>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</si>
  <si>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</si>
  <si>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</si>
  <si>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</si>
  <si>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</si>
  <si>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</si>
  <si>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</si>
  <si>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</si>
  <si>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</si>
  <si>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</si>
  <si>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</si>
  <si>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</si>
  <si>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</si>
  <si>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</si>
  <si>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</si>
  <si>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</si>
  <si>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</si>
  <si>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</si>
  <si>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</si>
  <si>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</si>
  <si>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</si>
  <si>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</si>
  <si>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</si>
  <si>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</si>
  <si>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</si>
  <si>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</si>
  <si>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</si>
  <si>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</si>
  <si>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</si>
  <si>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</si>
  <si>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</si>
  <si>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</si>
  <si>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</si>
  <si>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</si>
  <si>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</si>
  <si>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</si>
  <si>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</si>
  <si>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</si>
  <si>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</si>
  <si>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</si>
  <si>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</si>
  <si>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</si>
  <si>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</si>
  <si>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</si>
  <si>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</si>
  <si>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</si>
  <si>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</si>
  <si>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</si>
  <si>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</si>
  <si>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</si>
  <si>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</si>
  <si>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</si>
  <si>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</si>
  <si>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</si>
  <si>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</si>
  <si>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</si>
  <si>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</si>
  <si>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</si>
  <si>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</si>
  <si>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</si>
  <si>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</si>
  <si>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</si>
  <si>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</si>
  <si>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</si>
  <si>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</si>
  <si>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</si>
  <si>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</si>
  <si>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</si>
  <si>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</si>
  <si>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</si>
  <si>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</si>
  <si>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</si>
  <si>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</si>
  <si>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</si>
  <si>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</si>
  <si>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</si>
  <si>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</si>
  <si>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</si>
  <si>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</si>
  <si>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</si>
  <si>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</si>
  <si>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</si>
  <si>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</si>
  <si>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</si>
  <si>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</si>
  <si>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</si>
  <si>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</si>
  <si>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</si>
  <si>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</si>
  <si>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</si>
  <si>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</si>
  <si>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</si>
  <si>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</si>
  <si>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</si>
  <si>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</si>
  <si>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</si>
  <si>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</si>
  <si>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</si>
  <si>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</si>
  <si>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</si>
  <si>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</si>
  <si>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</si>
  <si>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</si>
  <si>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</si>
  <si>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</si>
  <si>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</si>
  <si>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</si>
  <si>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</si>
  <si>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</si>
  <si>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</si>
  <si>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</si>
  <si>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</si>
  <si>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</si>
  <si>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</si>
  <si>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</si>
  <si>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</si>
  <si>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</si>
  <si>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</si>
  <si>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</si>
  <si>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</si>
  <si>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</si>
  <si>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</si>
  <si>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</si>
  <si>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</si>
  <si>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</si>
  <si>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</si>
  <si>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</si>
  <si>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</si>
  <si>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</si>
  <si>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</si>
  <si>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</si>
  <si>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</si>
  <si>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</si>
  <si>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</si>
  <si>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</si>
  <si>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</si>
  <si>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</si>
  <si>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</si>
  <si>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</si>
  <si>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</si>
  <si>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</si>
  <si>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</si>
  <si>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</si>
  <si>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</si>
  <si>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</si>
  <si>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</si>
  <si>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</si>
  <si>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</si>
  <si>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</si>
  <si>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</si>
  <si>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</si>
  <si>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</si>
  <si>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</si>
  <si>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</si>
  <si>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</si>
  <si>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</si>
  <si>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</si>
  <si>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</si>
  <si>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</si>
  <si>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</si>
  <si>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</si>
  <si>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</si>
  <si>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</si>
  <si>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</si>
  <si>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</si>
  <si>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</si>
  <si>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</si>
  <si>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</si>
  <si>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</si>
  <si>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</si>
  <si>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</si>
  <si>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</si>
  <si>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</si>
  <si>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</si>
  <si>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</si>
  <si>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</si>
  <si>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</si>
  <si>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</si>
  <si>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</si>
  <si>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</si>
  <si>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</si>
  <si>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</si>
  <si>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</si>
  <si>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</si>
  <si>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</si>
  <si>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</si>
  <si>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</si>
  <si>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</si>
  <si>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</si>
  <si>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</si>
  <si>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</si>
  <si>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</si>
  <si>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</si>
  <si>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</si>
  <si>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</si>
  <si>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</si>
  <si>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</si>
  <si>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</si>
  <si>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</si>
  <si>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</si>
  <si>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</si>
  <si>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</si>
  <si>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</si>
  <si>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</si>
  <si>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</si>
  <si>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</si>
  <si>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</si>
  <si>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</si>
  <si>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</si>
  <si>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</si>
  <si>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</si>
  <si>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</si>
  <si>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</si>
  <si>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</si>
  <si>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</si>
  <si>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</si>
  <si>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</si>
  <si>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</si>
  <si>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</si>
  <si>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</si>
  <si>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</si>
  <si>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</si>
  <si>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</si>
  <si>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</si>
  <si>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</si>
  <si>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</si>
  <si>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</si>
  <si>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</si>
  <si>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</si>
  <si>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</si>
  <si>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</si>
  <si>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</si>
  <si>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</si>
  <si>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</si>
  <si>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</si>
  <si>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</si>
  <si>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</si>
  <si>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</si>
  <si>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</si>
  <si>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</si>
  <si>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</si>
  <si>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</si>
  <si>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</si>
  <si>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</si>
  <si>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</si>
  <si>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</si>
  <si>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</si>
  <si>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</si>
  <si>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</si>
  <si>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</si>
  <si>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</si>
  <si>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</si>
  <si>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</si>
  <si>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</si>
  <si>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</si>
  <si>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</si>
  <si>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</si>
  <si>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</si>
  <si>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</si>
  <si>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</si>
  <si>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</si>
  <si>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</si>
  <si>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</si>
  <si>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</si>
  <si>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</si>
  <si>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</si>
  <si>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</si>
  <si>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</si>
  <si>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</si>
  <si>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</si>
  <si>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</si>
  <si>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</si>
  <si>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</si>
  <si>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</si>
  <si>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</si>
  <si>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</si>
  <si>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</si>
  <si>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</si>
  <si>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</si>
  <si>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</si>
  <si>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</si>
  <si>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</si>
  <si>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</si>
  <si>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</si>
  <si>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</si>
  <si>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</si>
  <si>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</si>
  <si>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</si>
  <si>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</si>
  <si>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</si>
  <si>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</si>
  <si>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</si>
  <si>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</si>
  <si>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</si>
  <si>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</si>
  <si>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</si>
  <si>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</si>
  <si>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</si>
  <si>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</si>
  <si>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</si>
  <si>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</si>
  <si>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</si>
  <si>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</si>
  <si>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</si>
  <si>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</si>
  <si>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</si>
  <si>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</si>
  <si>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</si>
  <si>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</si>
  <si>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</si>
  <si>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</si>
  <si>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</si>
  <si>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</si>
  <si>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</si>
  <si>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</si>
  <si>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</si>
  <si>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</si>
  <si>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</si>
  <si>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</si>
  <si>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</si>
  <si>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</si>
  <si>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</si>
  <si>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</si>
  <si>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</si>
  <si>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</si>
  <si>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</si>
  <si>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</si>
  <si>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</si>
  <si>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</si>
  <si>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</si>
  <si>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</si>
  <si>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</si>
  <si>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</si>
  <si>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</si>
  <si>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</si>
  <si>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</si>
  <si>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</si>
  <si>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</si>
  <si>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</si>
  <si>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</si>
  <si>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</si>
  <si>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</si>
  <si>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</si>
  <si>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</si>
  <si>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</si>
  <si>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</si>
  <si>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</si>
  <si>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</si>
  <si>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</si>
  <si>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</si>
  <si>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</si>
  <si>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</si>
  <si>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</si>
  <si>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</si>
  <si>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</si>
  <si>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</si>
  <si>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</si>
  <si>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</si>
  <si>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</si>
  <si>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</si>
  <si>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</si>
  <si>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</si>
  <si>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</si>
  <si>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</si>
  <si>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</si>
  <si>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</si>
  <si>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</si>
  <si>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</si>
  <si>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</si>
  <si>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</si>
  <si>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</si>
  <si>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</si>
  <si>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</si>
  <si>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</si>
  <si>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</si>
  <si>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</si>
  <si>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</si>
  <si>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</si>
  <si>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</si>
  <si>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</si>
  <si>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</si>
  <si>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</si>
  <si>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</si>
  <si>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</si>
  <si>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</si>
  <si>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</si>
  <si>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</si>
  <si>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</si>
  <si>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</si>
  <si>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</si>
  <si>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</si>
  <si>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</si>
  <si>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</si>
  <si>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</si>
  <si>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</si>
  <si>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</si>
  <si>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</si>
  <si>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</si>
  <si>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</si>
  <si>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</si>
  <si>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</si>
  <si>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</si>
  <si>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</si>
  <si>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</si>
  <si>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</si>
  <si>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</si>
  <si>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</si>
  <si>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</si>
  <si>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</si>
  <si>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</si>
  <si>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</si>
  <si>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</si>
  <si>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</si>
  <si>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</si>
  <si>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</si>
  <si>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</si>
  <si>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</si>
  <si>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</si>
  <si>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</si>
  <si>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</si>
  <si>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</si>
  <si>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</si>
  <si>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</si>
  <si>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</si>
  <si>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</si>
  <si>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</si>
  <si>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</si>
  <si>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</si>
  <si>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</si>
  <si>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</si>
  <si>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</si>
  <si>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</si>
  <si>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</si>
  <si>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</si>
  <si>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</si>
  <si>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</si>
  <si>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</si>
  <si>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</si>
  <si>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</si>
  <si>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</si>
  <si>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</si>
  <si>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</si>
  <si>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</si>
  <si>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</si>
  <si>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</si>
  <si>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</si>
  <si>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</si>
  <si>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</si>
  <si>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</si>
  <si>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</si>
  <si>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</si>
  <si>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</si>
  <si>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</si>
  <si>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</si>
  <si>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</si>
  <si>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</si>
  <si>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</si>
  <si>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</si>
  <si>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</si>
  <si>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</si>
  <si>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</si>
  <si>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</si>
  <si>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</si>
  <si>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</si>
  <si>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</si>
  <si>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</si>
  <si>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</si>
  <si>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</si>
  <si>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</si>
  <si>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</si>
  <si>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</si>
  <si>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</si>
  <si>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</si>
  <si>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</si>
  <si>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</si>
  <si>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</si>
  <si>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</si>
  <si>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</si>
  <si>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</si>
  <si>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</si>
  <si>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</si>
  <si>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</si>
  <si>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</si>
  <si>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</si>
  <si>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</si>
  <si>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</si>
  <si>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</si>
  <si>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</si>
  <si>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</si>
  <si>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</si>
  <si>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</si>
  <si>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</si>
  <si>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</si>
  <si>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</si>
  <si>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</si>
  <si>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</si>
  <si>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</si>
  <si>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</si>
  <si>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</si>
  <si>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</si>
  <si>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</si>
  <si>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</si>
  <si>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</si>
  <si>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</si>
  <si>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</si>
  <si>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</si>
  <si>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</si>
  <si>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</si>
  <si>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</si>
  <si>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</si>
  <si>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</si>
  <si>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</si>
  <si>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</si>
  <si>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</si>
  <si>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</si>
  <si>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</si>
  <si>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</si>
  <si>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</si>
  <si>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</si>
  <si>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</si>
  <si>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</si>
  <si>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</si>
  <si>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</si>
  <si>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</si>
  <si>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</si>
  <si>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</si>
  <si>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</si>
  <si>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</si>
  <si>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</si>
  <si>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</si>
  <si>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</si>
  <si>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</si>
  <si>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</si>
  <si>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</si>
  <si>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</si>
  <si>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</si>
  <si>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</si>
  <si>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</si>
  <si>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</si>
  <si>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</si>
  <si>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</si>
  <si>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</si>
  <si>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</si>
  <si>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</si>
  <si>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</si>
  <si>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</si>
  <si>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</si>
  <si>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</si>
  <si>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</si>
  <si>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</si>
  <si>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</si>
  <si>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</si>
  <si>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</si>
  <si>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</si>
  <si>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</si>
  <si>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</si>
  <si>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</si>
  <si>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</si>
  <si>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</si>
  <si>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</si>
  <si>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</si>
  <si>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</si>
  <si>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</si>
  <si>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</si>
  <si>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</si>
  <si>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</si>
  <si>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</si>
  <si>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</si>
  <si>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</si>
  <si>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</si>
  <si>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</si>
  <si>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</si>
  <si>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</si>
  <si>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</si>
  <si>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</si>
  <si>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</si>
  <si>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</si>
  <si>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</si>
  <si>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</si>
  <si>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</si>
  <si>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</si>
  <si>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</si>
  <si>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</si>
  <si>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</si>
  <si>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</si>
  <si>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</si>
  <si>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</si>
  <si>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</si>
  <si>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</si>
  <si>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</si>
  <si>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</si>
  <si>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</si>
  <si>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</si>
  <si>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</si>
  <si>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</si>
  <si>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</si>
  <si>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</si>
  <si>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</si>
  <si>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</si>
  <si>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</si>
  <si>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</si>
  <si>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</si>
  <si>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</si>
  <si>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</si>
  <si>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</si>
  <si>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</si>
  <si>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</si>
  <si>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</si>
  <si>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</si>
  <si>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</si>
  <si>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</si>
  <si>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</si>
  <si>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</si>
  <si>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</si>
  <si>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</si>
  <si>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</si>
  <si>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</si>
  <si>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</si>
  <si>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</si>
  <si>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</si>
  <si>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</si>
  <si>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</si>
  <si>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</si>
  <si>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</si>
  <si>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</si>
  <si>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</si>
  <si>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</si>
  <si>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</si>
  <si>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</si>
  <si>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</si>
  <si>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</si>
  <si>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</si>
  <si>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</si>
  <si>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</si>
  <si>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</si>
  <si>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</si>
  <si>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</si>
  <si>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</si>
  <si>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</si>
  <si>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</si>
  <si>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</si>
  <si>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</si>
  <si>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</si>
  <si>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</si>
  <si>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</si>
  <si>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</si>
  <si>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</si>
  <si>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</si>
  <si>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</si>
  <si>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</si>
  <si>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</si>
  <si>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</si>
  <si>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</si>
  <si>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</si>
  <si>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</si>
  <si>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</si>
  <si>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</si>
  <si>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</si>
  <si>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</si>
  <si>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</si>
  <si>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</si>
  <si>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</si>
  <si>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</si>
  <si>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</si>
  <si>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</si>
  <si>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</si>
  <si>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</si>
  <si>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</si>
  <si>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</si>
  <si>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</si>
  <si>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</si>
  <si>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</si>
  <si>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</si>
  <si>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</si>
  <si>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</si>
  <si>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</si>
  <si>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</si>
  <si>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</si>
  <si>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</si>
  <si>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</si>
  <si>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</si>
  <si>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</si>
  <si>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</si>
  <si>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</si>
  <si>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</si>
  <si>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</si>
  <si>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</si>
  <si>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</si>
  <si>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</si>
  <si>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</si>
  <si>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</si>
  <si>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</si>
  <si>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</si>
  <si>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</si>
  <si>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</si>
  <si>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</si>
  <si>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</si>
  <si>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</si>
  <si>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</si>
  <si>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</si>
  <si>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</si>
  <si>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</si>
  <si>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</si>
  <si>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</si>
  <si>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</si>
  <si>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</si>
  <si>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</si>
  <si>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</si>
  <si>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</si>
  <si>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</si>
  <si>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</si>
  <si>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</si>
  <si>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</si>
  <si>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</si>
  <si>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</si>
  <si>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</si>
  <si>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</si>
  <si>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</si>
  <si>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</si>
  <si>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</si>
  <si>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</si>
  <si>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</si>
  <si>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</si>
  <si>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</si>
  <si>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</si>
  <si>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</si>
  <si>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</si>
  <si>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</si>
  <si>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</si>
  <si>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</si>
  <si>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</si>
  <si>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</si>
  <si>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</si>
  <si>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</si>
  <si>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</si>
  <si>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</si>
  <si>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</si>
  <si>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</si>
  <si>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</si>
  <si>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</si>
  <si>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</si>
  <si>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</si>
  <si>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</si>
  <si>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</si>
  <si>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</si>
  <si>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</si>
  <si>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</si>
  <si>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</si>
  <si>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</si>
  <si>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</si>
  <si>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</si>
  <si>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</si>
  <si>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</si>
  <si>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</si>
  <si>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</si>
  <si>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</si>
  <si>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</si>
  <si>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</si>
  <si>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</si>
  <si>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</si>
  <si>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</si>
  <si>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</si>
  <si>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</si>
  <si>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</si>
  <si>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</si>
  <si>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</si>
  <si>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</si>
  <si>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</si>
  <si>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</si>
  <si>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</si>
  <si>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</si>
  <si>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</si>
  <si>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</si>
  <si>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</si>
  <si>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</si>
  <si>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</si>
  <si>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</si>
  <si>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</si>
  <si>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</si>
  <si>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</si>
  <si>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</si>
  <si>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</si>
  <si>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</si>
  <si>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</si>
  <si>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</si>
  <si>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</si>
  <si>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</si>
  <si>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</si>
  <si>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</si>
  <si>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</si>
  <si>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</si>
  <si>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</si>
  <si>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</si>
  <si>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</si>
  <si>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</si>
  <si>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</si>
  <si>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</si>
  <si>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</si>
  <si>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</si>
  <si>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</si>
  <si>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</si>
  <si>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</si>
  <si>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</si>
  <si>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</si>
  <si>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</si>
  <si>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</si>
  <si>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</si>
  <si>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</si>
  <si>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</si>
  <si>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</si>
  <si>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</si>
  <si>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</si>
  <si>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</si>
  <si>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</si>
  <si>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</si>
  <si>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</si>
  <si>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</si>
  <si>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</si>
  <si>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</si>
  <si>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</si>
  <si>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</si>
  <si>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</si>
  <si>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</si>
  <si>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</si>
  <si>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</si>
  <si>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</si>
  <si>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</si>
  <si>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</si>
  <si>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</si>
  <si>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</si>
  <si>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</si>
  <si>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</si>
  <si>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</si>
  <si>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</si>
  <si>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</si>
  <si>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</si>
  <si>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</si>
  <si>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</si>
  <si>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</si>
  <si>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</si>
  <si>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</si>
  <si>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</si>
  <si>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</si>
  <si>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</si>
  <si>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</si>
  <si>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</si>
  <si>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</si>
  <si>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</si>
  <si>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</si>
  <si>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</si>
  <si>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</si>
  <si>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</si>
  <si>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</si>
  <si>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</si>
  <si>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</si>
  <si>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</si>
  <si>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</si>
  <si>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</si>
  <si>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</si>
  <si>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</si>
  <si>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</si>
  <si>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</si>
  <si>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</si>
  <si>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</si>
  <si>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</si>
  <si>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</si>
  <si>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</si>
  <si>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</si>
  <si>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</si>
  <si>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</si>
  <si>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</si>
  <si>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</si>
  <si>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</si>
  <si>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</si>
  <si>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</si>
  <si>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</si>
  <si>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</si>
  <si>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</si>
  <si>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</si>
  <si>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</si>
  <si>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</si>
  <si>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</si>
  <si>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</si>
  <si>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</si>
  <si>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</si>
  <si>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</si>
  <si>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</si>
  <si>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</si>
  <si>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</si>
  <si>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</si>
  <si>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</si>
  <si>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</si>
  <si>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</si>
  <si>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</si>
  <si>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</si>
  <si>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</si>
  <si>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</si>
  <si>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</si>
  <si>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</si>
  <si>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</si>
  <si>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</si>
  <si>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</si>
  <si>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</si>
  <si>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</si>
  <si>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</si>
  <si>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</si>
  <si>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</si>
  <si>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</si>
  <si>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</si>
  <si>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</si>
  <si>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</si>
  <si>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</si>
  <si>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</si>
  <si>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</si>
  <si>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</si>
  <si>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</si>
  <si>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</si>
  <si>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</si>
  <si>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</si>
  <si>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</si>
  <si>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</si>
  <si>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</si>
  <si>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</si>
  <si>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</si>
  <si>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</si>
  <si>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</si>
  <si>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</si>
  <si>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</si>
  <si>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</si>
  <si>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</si>
  <si>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</si>
  <si>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</si>
  <si>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</si>
  <si>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</si>
  <si>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</si>
  <si>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</si>
  <si>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</si>
  <si>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</si>
  <si>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</si>
  <si>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</si>
  <si>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</si>
  <si>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</si>
  <si>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</si>
  <si>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</si>
  <si>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</si>
  <si>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</si>
  <si>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</si>
  <si>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</si>
  <si>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</si>
  <si>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</si>
  <si>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</si>
  <si>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</si>
  <si>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</si>
  <si>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</si>
  <si>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</si>
  <si>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</si>
  <si>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</si>
  <si>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</si>
  <si>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</si>
  <si>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</si>
  <si>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</si>
  <si>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</si>
  <si>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</si>
  <si>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</si>
  <si>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</si>
  <si>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</si>
  <si>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</si>
  <si>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</si>
  <si>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</si>
  <si>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</si>
  <si>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</si>
  <si>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</si>
  <si>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</si>
  <si>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</si>
  <si>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</si>
  <si>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</si>
  <si>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</si>
  <si>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</si>
  <si>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</si>
  <si>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</si>
  <si>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</si>
  <si>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</si>
  <si>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</si>
  <si>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</si>
  <si>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</si>
  <si>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</si>
  <si>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</si>
  <si>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</si>
  <si>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</si>
  <si>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</si>
  <si>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</si>
  <si>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</si>
  <si>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</si>
  <si>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</si>
  <si>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</si>
  <si>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</si>
  <si>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</si>
  <si>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</si>
  <si>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</si>
  <si>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</si>
  <si>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</si>
  <si>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</si>
  <si>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</si>
  <si>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</si>
  <si>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</si>
  <si>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</si>
  <si>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</si>
  <si>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</si>
  <si>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</si>
  <si>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</si>
  <si>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</si>
  <si>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</si>
  <si>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</si>
  <si>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</si>
  <si>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</si>
  <si>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</si>
  <si>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</si>
  <si>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</si>
  <si>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</si>
  <si>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</si>
  <si>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</si>
  <si>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</si>
  <si>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</si>
  <si>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</si>
  <si>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</si>
  <si>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</si>
  <si>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</si>
  <si>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</si>
  <si>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</si>
  <si>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</si>
  <si>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</si>
  <si>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</si>
  <si>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</si>
  <si>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</si>
  <si>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</si>
  <si>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</si>
  <si>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</si>
  <si>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</si>
  <si>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</si>
  <si>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</si>
  <si>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</si>
  <si>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</si>
  <si>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</si>
  <si>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</si>
  <si>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</si>
  <si>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</si>
  <si>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</si>
  <si>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</si>
  <si>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</si>
  <si>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</si>
  <si>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</si>
  <si>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</si>
  <si>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</si>
  <si>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</si>
  <si>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</si>
  <si>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</si>
  <si>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</si>
  <si>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</si>
  <si>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</si>
  <si>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</si>
  <si>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</si>
  <si>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</si>
  <si>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</si>
  <si>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</si>
  <si>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</si>
  <si>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</si>
  <si>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</si>
  <si>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</si>
  <si>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</si>
  <si>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</si>
  <si>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</si>
  <si>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</si>
  <si>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</si>
  <si>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</si>
  <si>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</si>
  <si>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</si>
  <si>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</si>
  <si>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</si>
  <si>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</si>
  <si>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</si>
  <si>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</si>
  <si>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</si>
  <si>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</si>
  <si>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</si>
  <si>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</si>
  <si>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</si>
  <si>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</si>
  <si>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</si>
  <si>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</si>
  <si>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</si>
  <si>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</si>
  <si>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</si>
  <si>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</si>
  <si>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</si>
  <si>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</si>
  <si>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</si>
  <si>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</si>
  <si>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</si>
  <si>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</si>
  <si>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</si>
  <si>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</si>
  <si>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</si>
  <si>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</si>
  <si>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</si>
  <si>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</si>
  <si>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</si>
  <si>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</si>
  <si>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</si>
  <si>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</si>
  <si>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</si>
  <si>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</si>
  <si>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</si>
  <si>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</si>
  <si>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</si>
  <si>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</si>
  <si>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</si>
  <si>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</si>
  <si>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</si>
  <si>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</si>
  <si>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</si>
  <si>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</si>
  <si>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</si>
  <si>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</si>
  <si>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</si>
  <si>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</si>
  <si>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</si>
  <si>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</si>
  <si>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</si>
  <si>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</si>
  <si>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</si>
  <si>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</si>
  <si>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</si>
  <si>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</si>
  <si>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</si>
  <si>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</si>
  <si>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</si>
  <si>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</si>
  <si>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</si>
  <si>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</si>
  <si>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</si>
  <si>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</si>
  <si>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</si>
  <si>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</si>
  <si>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</si>
  <si>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</si>
  <si>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</si>
  <si>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</si>
  <si>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</si>
  <si>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</si>
  <si>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</si>
  <si>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</si>
  <si>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</si>
  <si>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</si>
  <si>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</si>
  <si>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</si>
  <si>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</si>
  <si>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</si>
  <si>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</si>
  <si>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</si>
  <si>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</si>
  <si>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</si>
  <si>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</si>
  <si>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</si>
  <si>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</si>
  <si>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</si>
  <si>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</si>
  <si>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</si>
  <si>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</si>
  <si>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</si>
  <si>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</si>
  <si>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</si>
  <si>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</si>
  <si>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</si>
  <si>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</si>
  <si>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</si>
  <si>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</si>
  <si>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</si>
  <si>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</si>
  <si>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</si>
  <si>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</si>
  <si>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</si>
  <si>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</si>
  <si>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</si>
  <si>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</si>
  <si>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</si>
  <si>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</si>
  <si>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</si>
  <si>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</si>
  <si>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</si>
  <si>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</si>
  <si>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</si>
  <si>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</si>
  <si>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</si>
  <si>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</si>
  <si>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</si>
  <si>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</si>
  <si>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</si>
  <si>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</si>
  <si>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</si>
  <si>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</si>
  <si>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</si>
  <si>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</si>
  <si>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</si>
  <si>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</si>
  <si>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</si>
  <si>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</si>
  <si>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</si>
  <si>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</si>
  <si>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</si>
  <si>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</si>
  <si>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</si>
  <si>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</si>
  <si>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</si>
  <si>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</si>
  <si>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</si>
  <si>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</si>
  <si>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</si>
  <si>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</si>
  <si>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</si>
  <si>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</si>
  <si>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</si>
  <si>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</si>
  <si>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</si>
  <si>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</si>
  <si>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</si>
  <si>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</si>
  <si>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</si>
  <si>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</si>
  <si>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</si>
  <si>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</si>
  <si>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</si>
  <si>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</si>
  <si>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</si>
  <si>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</si>
  <si>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</si>
  <si>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</si>
  <si>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</si>
  <si>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</si>
  <si>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</si>
  <si>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</si>
  <si>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</si>
  <si>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</si>
  <si>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</si>
  <si>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</si>
  <si>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</si>
  <si>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</si>
  <si>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</si>
  <si>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</si>
  <si>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</si>
  <si>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</si>
  <si>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</si>
  <si>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</si>
  <si>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</si>
  <si>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</si>
  <si>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</si>
  <si>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</si>
  <si>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</si>
  <si>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</si>
  <si>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</si>
  <si>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</si>
  <si>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</si>
  <si>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</si>
  <si>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</si>
  <si>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</si>
  <si>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</si>
  <si>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</si>
  <si>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</si>
  <si>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</si>
  <si>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</si>
  <si>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</si>
  <si>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</si>
  <si>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</si>
  <si>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</si>
  <si>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</si>
  <si>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</si>
  <si>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</si>
  <si>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</si>
  <si>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</si>
  <si>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</si>
  <si>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</si>
  <si>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</si>
  <si>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</si>
  <si>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</si>
  <si>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</si>
  <si>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</si>
  <si>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</si>
  <si>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</si>
  <si>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</si>
  <si>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</si>
  <si>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</si>
  <si>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</si>
  <si>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</si>
  <si>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</si>
  <si>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</si>
  <si>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</si>
  <si>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</si>
  <si>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</si>
  <si>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</si>
  <si>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</si>
  <si>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</si>
  <si>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</si>
  <si>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</si>
  <si>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</si>
  <si>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</si>
  <si>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</si>
  <si>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</si>
  <si>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</si>
  <si>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</si>
  <si>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</si>
  <si>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</si>
  <si>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</si>
  <si>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</si>
  <si>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</si>
  <si>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</si>
  <si>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</si>
  <si>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</si>
  <si>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</si>
  <si>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</si>
  <si>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</si>
  <si>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</si>
  <si>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</si>
  <si>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</si>
  <si>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</si>
  <si>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</si>
  <si>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</si>
  <si>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</si>
  <si>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</si>
  <si>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</si>
  <si>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</si>
  <si>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</si>
  <si>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</si>
  <si>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</si>
  <si>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</si>
  <si>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</si>
  <si>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</si>
  <si>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</si>
  <si>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</si>
  <si>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</si>
  <si>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</si>
  <si>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</si>
  <si>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</si>
  <si>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</si>
  <si>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</si>
  <si>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</si>
  <si>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</si>
  <si>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</si>
  <si>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</si>
  <si>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</si>
  <si>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</si>
  <si>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</si>
  <si>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</si>
  <si>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</si>
  <si>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</si>
  <si>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</si>
  <si>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</si>
  <si>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</si>
  <si>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</si>
  <si>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</si>
  <si>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</si>
  <si>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</si>
  <si>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</si>
  <si>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</si>
  <si>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</si>
  <si>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</si>
  <si>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</si>
  <si>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</si>
  <si>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</si>
  <si>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</si>
  <si>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</si>
  <si>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</si>
  <si>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</si>
  <si>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</si>
  <si>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</si>
  <si>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</si>
  <si>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</si>
  <si>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</si>
  <si>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</si>
  <si>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</si>
  <si>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</si>
  <si>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</si>
  <si>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</si>
  <si>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</si>
  <si>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</si>
  <si>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</si>
  <si>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</si>
  <si>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</si>
  <si>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</si>
  <si>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</si>
  <si>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</si>
  <si>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</si>
  <si>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</si>
  <si>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</si>
  <si>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</si>
  <si>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</si>
  <si>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</si>
  <si>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</si>
  <si>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</si>
  <si>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</si>
  <si>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</si>
  <si>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</si>
  <si>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</si>
  <si>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</si>
  <si>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</si>
  <si>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</si>
  <si>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</si>
  <si>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</si>
  <si>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</si>
  <si>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</si>
  <si>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</si>
  <si>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</si>
  <si>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</si>
  <si>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</si>
  <si>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</si>
  <si>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</si>
  <si>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</si>
  <si>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</si>
  <si>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</si>
  <si>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</si>
  <si>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</si>
  <si>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</si>
  <si>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</si>
  <si>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</si>
  <si>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</si>
  <si>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</si>
  <si>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</si>
  <si>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</si>
  <si>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</si>
  <si>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</si>
  <si>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</si>
  <si>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</si>
  <si>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</si>
  <si>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</si>
  <si>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</si>
  <si>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</si>
  <si>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</si>
  <si>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</si>
  <si>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</si>
  <si>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</si>
  <si>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</si>
  <si>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</si>
  <si>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</si>
  <si>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</si>
  <si>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</si>
  <si>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</si>
  <si>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</si>
  <si>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</si>
  <si>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</si>
  <si>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</si>
  <si>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</si>
  <si>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</si>
  <si>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</si>
  <si>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</si>
  <si>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</si>
  <si>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</si>
  <si>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</si>
  <si>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</si>
  <si>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</si>
  <si>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</si>
  <si>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</si>
  <si>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</si>
  <si>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</si>
  <si>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</si>
  <si>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</si>
  <si>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</si>
  <si>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</si>
  <si>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</si>
  <si>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</si>
  <si>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</si>
  <si>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</si>
  <si>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</si>
  <si>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</si>
  <si>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</si>
  <si>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</si>
  <si>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</si>
  <si>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</si>
  <si>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</si>
  <si>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</si>
  <si>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</si>
  <si>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</si>
  <si>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</si>
  <si>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</si>
  <si>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</si>
  <si>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</si>
  <si>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</si>
  <si>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</si>
  <si>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</si>
  <si>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</si>
  <si>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</si>
  <si>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</si>
  <si>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</si>
  <si>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</si>
  <si>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</si>
  <si>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</si>
  <si>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</si>
  <si>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</si>
  <si>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</si>
  <si>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</si>
  <si>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</si>
  <si>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</si>
  <si>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</si>
  <si>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</si>
  <si>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</si>
  <si>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</si>
  <si>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</si>
  <si>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</si>
  <si>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</si>
  <si>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</si>
  <si>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</si>
  <si>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</si>
  <si>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</si>
  <si>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</si>
  <si>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</si>
  <si>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</si>
  <si>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</si>
  <si>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</si>
  <si>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</si>
  <si>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</si>
  <si>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</si>
  <si>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</si>
  <si>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</si>
  <si>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</si>
  <si>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</si>
  <si>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</si>
  <si>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</si>
  <si>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</si>
  <si>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</si>
  <si>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</si>
  <si>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</si>
  <si>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</si>
  <si>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</si>
  <si>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</si>
  <si>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</si>
  <si>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</si>
  <si>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</si>
  <si>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</si>
  <si>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</si>
  <si>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</si>
  <si>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</si>
  <si>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</si>
  <si>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</si>
  <si>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</si>
  <si>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</si>
  <si>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</si>
  <si>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</si>
  <si>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</si>
  <si>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</si>
  <si>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</si>
  <si>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</si>
  <si>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</si>
  <si>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</si>
  <si>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</si>
  <si>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</si>
  <si>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</si>
  <si>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</si>
  <si>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</si>
  <si>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</si>
  <si>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</si>
  <si>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</si>
  <si>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</si>
  <si>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</si>
  <si>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</si>
  <si>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</si>
  <si>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</si>
  <si>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</si>
  <si>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</si>
  <si>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</si>
  <si>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</si>
  <si>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</si>
  <si>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</si>
  <si>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</si>
  <si>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</si>
  <si>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</si>
  <si>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</si>
  <si>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</si>
  <si>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</si>
  <si>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</si>
  <si>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</si>
  <si>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</si>
  <si>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</si>
  <si>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</si>
  <si>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</si>
  <si>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</si>
  <si>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</si>
  <si>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</si>
  <si>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</si>
  <si>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</si>
  <si>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</si>
  <si>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</si>
  <si>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</si>
  <si>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</si>
  <si>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</si>
  <si>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</si>
  <si>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</si>
  <si>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</si>
  <si>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</si>
  <si>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</si>
  <si>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</si>
  <si>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</si>
  <si>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</si>
  <si>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</si>
  <si>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</si>
  <si>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</si>
  <si>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</si>
  <si>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</si>
  <si>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</si>
  <si>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</si>
  <si>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</si>
  <si>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</si>
  <si>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</si>
  <si>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</si>
  <si>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</si>
  <si>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</si>
  <si>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</si>
  <si>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</si>
  <si>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</si>
  <si>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</si>
  <si>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</si>
  <si>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</si>
  <si>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</si>
  <si>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</si>
  <si>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</si>
  <si>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</si>
  <si>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</si>
  <si>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</si>
  <si>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</si>
  <si>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</si>
  <si>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</si>
  <si>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</si>
  <si>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</si>
  <si>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</si>
  <si>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</si>
  <si>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</si>
  <si>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</si>
  <si>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</si>
  <si>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</si>
  <si>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</si>
  <si>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</si>
  <si>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</si>
  <si>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</si>
  <si>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</si>
  <si>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</si>
  <si>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</si>
  <si>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</si>
  <si>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</si>
  <si>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</si>
  <si>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</si>
  <si>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</si>
  <si>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</si>
  <si>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</si>
  <si>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</si>
  <si>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</si>
  <si>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</si>
  <si>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</si>
  <si>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</si>
  <si>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</si>
  <si>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</si>
  <si>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</si>
  <si>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</si>
  <si>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</si>
  <si>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</si>
  <si>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</si>
  <si>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</si>
  <si>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</si>
  <si>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</si>
  <si>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</si>
  <si>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</si>
  <si>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</si>
  <si>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</si>
  <si>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</si>
  <si>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</si>
  <si>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</si>
  <si>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</si>
  <si>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</si>
  <si>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</si>
  <si>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</si>
  <si>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</si>
  <si>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</si>
  <si>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</si>
  <si>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</si>
  <si>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</si>
  <si>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</si>
  <si>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</si>
  <si>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</si>
  <si>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Logo</t>
  </si>
  <si>
    <t>Color Scheme</t>
  </si>
  <si>
    <t>#9FBFAD</t>
  </si>
  <si>
    <t>#748C76</t>
  </si>
  <si>
    <t>#505947</t>
  </si>
  <si>
    <t>#BF7F5A</t>
  </si>
  <si>
    <t>#BF3939</t>
  </si>
  <si>
    <t>#4887E6</t>
  </si>
  <si>
    <t>Accent 1</t>
  </si>
  <si>
    <t>Accent 2</t>
  </si>
  <si>
    <t>Accent 3</t>
  </si>
  <si>
    <t>Accent 4</t>
  </si>
  <si>
    <t>Accent 5</t>
  </si>
  <si>
    <t>Accent 6</t>
  </si>
  <si>
    <t>Emojis</t>
  </si>
  <si>
    <t>🛒</t>
  </si>
  <si>
    <t>👕</t>
  </si>
  <si>
    <t>💰</t>
  </si>
  <si>
    <t>⭐</t>
  </si>
  <si>
    <t>📅</t>
  </si>
  <si>
    <t>Orders</t>
  </si>
  <si>
    <t>Rating</t>
  </si>
  <si>
    <t>Days to deliver</t>
  </si>
  <si>
    <t>Format Codes</t>
  </si>
  <si>
    <t>#,##</t>
  </si>
  <si>
    <t>value with thousand's seperator</t>
  </si>
  <si>
    <t>$#,##,.0k</t>
  </si>
  <si>
    <t>Amount in thousands with one decimal</t>
  </si>
  <si>
    <t>0.0</t>
  </si>
  <si>
    <t>Other numbers</t>
  </si>
  <si>
    <t>Resouces:</t>
  </si>
  <si>
    <t>Excel Dashboard Tutorial Video</t>
  </si>
  <si>
    <t>Adv. Excel Dashboards Course by Chandoo</t>
  </si>
  <si>
    <t>You will get the full workbook in the course!</t>
  </si>
  <si>
    <t>Count of TX ID</t>
  </si>
  <si>
    <t>Sum of Quantity</t>
  </si>
  <si>
    <t>Sum of Amount</t>
  </si>
  <si>
    <t>Average of Rating C</t>
  </si>
  <si>
    <t>Average of Days to Deliver</t>
  </si>
  <si>
    <t>Values for Display</t>
  </si>
  <si>
    <t>Qty</t>
  </si>
  <si>
    <t>Avg.Rating</t>
  </si>
  <si>
    <t>For trends</t>
  </si>
  <si>
    <t>Row Labels</t>
  </si>
  <si>
    <t>Grand Total</t>
  </si>
  <si>
    <t>Jan</t>
  </si>
  <si>
    <t>Feb</t>
  </si>
  <si>
    <t>Mar</t>
  </si>
  <si>
    <t>California Total</t>
  </si>
  <si>
    <t>Sum of Weeknum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</si>
</sst>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1009]#,##0"/>
  </numFmts>
  <fonts count="4" x14ac:knownFonts="1">
    <font>
      <sz val="11"/>
      <color theme="1"/>
      <name val="Aptos Narrow"/>
      <family val="2"/>
      <scheme val="minor"/>
    </font>
    <font>
      <b/>
      <sz val="11"/>
      <color theme="1"/>
      <name val="Aptos Narrow"/>
      <family val="2"/>
      <scheme val="minor"/>
    </font>
    <font>
      <sz val="8"/>
      <name val="Aptos Narrow"/>
      <family val="2"/>
      <scheme val="minor"/>
    </font>
    <font>
      <u/>
      <sz val="11"/>
      <color theme="10"/>
      <name val="Aptos Narrow"/>
      <family val="2"/>
      <scheme val="minor"/>
    </font>
  </fonts>
  <fills count="9">
    <fill>
      <patternFill patternType="none"/>
    </fill>
    <fill>
      <patternFill patternType="gray125"/>
    </fill>
    <fill>
      <patternFill patternType="solid">
        <fgColor theme="9"/>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4" tint="0.79998168889431442"/>
        <bgColor theme="4" tint="0.79998168889431442"/>
      </patternFill>
    </fill>
  </fills>
  <borders count="4">
    <border>
      <left/>
      <right/>
      <top/>
      <bottom/>
      <diagonal/>
    </border>
    <border>
      <left/>
      <right/>
      <top/>
      <bottom style="thin">
        <color theme="4" tint="0.39997558519241921"/>
      </bottom>
      <diagonal/>
    </border>
    <border>
      <left/>
      <right/>
      <top style="thin">
        <color theme="4" tint="0.39997558519241921"/>
      </top>
      <bottom/>
      <diagonal/>
    </border>
    <border>
      <left/>
      <right/>
      <top style="thin">
        <color theme="4"/>
      </top>
      <bottom style="thin">
        <color theme="4"/>
      </bottom>
      <diagonal/>
    </border>
  </borders>
  <cellStyleXfs count="2">
    <xf numFmtId="0" fontId="0" fillId="0" borderId="0"/>
    <xf numFmtId="0" fontId="3" fillId="0" borderId="0" applyNumberFormat="0" applyFill="0" applyBorder="0" applyAlignment="0" applyProtection="0"/>
  </cellStyleXfs>
  <cellXfs count="23">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0" borderId="0" xfId="0" quotePrefix="1"/>
    <xf numFmtId="0" fontId="3" fillId="0" borderId="0" xfId="1"/>
    <xf numFmtId="0" fontId="0" fillId="0" borderId="0" xfId="0" applyNumberFormat="1"/>
    <xf numFmtId="0" fontId="1" fillId="8" borderId="1" xfId="0" applyFont="1" applyFill="1" applyBorder="1"/>
    <xf numFmtId="0" fontId="0" fillId="0" borderId="0" xfId="0" pivotButton="1"/>
    <xf numFmtId="0" fontId="0" fillId="0" borderId="0" xfId="0" applyAlignment="1">
      <alignment horizontal="left"/>
    </xf>
    <xf numFmtId="166" fontId="0" fillId="0" borderId="0" xfId="0" applyNumberFormat="1"/>
    <xf numFmtId="0" fontId="1" fillId="8" borderId="2" xfId="0" applyFont="1" applyFill="1" applyBorder="1"/>
    <xf numFmtId="0" fontId="1" fillId="0" borderId="0" xfId="0" applyFont="1"/>
    <xf numFmtId="0" fontId="1" fillId="0" borderId="1" xfId="0" applyFont="1" applyBorder="1"/>
    <xf numFmtId="0" fontId="1" fillId="8" borderId="2" xfId="0" applyNumberFormat="1" applyFont="1" applyFill="1" applyBorder="1"/>
    <xf numFmtId="0" fontId="1" fillId="0" borderId="3" xfId="0" applyFont="1" applyBorder="1"/>
    <xf numFmtId="0" fontId="1" fillId="0" borderId="3" xfId="0" applyNumberFormat="1" applyFont="1" applyBorder="1"/>
  </cellXfs>
  <cellStyles count="2">
    <cellStyle name="Hyperlink" xfId="1" builtinId="8"/>
    <cellStyle name="Normal" xfId="0" builtinId="0"/>
  </cellStyles>
  <dxfs count="15">
    <dxf>
      <numFmt numFmtId="166" formatCode="[$$-1009]#,##0"/>
    </dxf>
    <dxf>
      <numFmt numFmtId="166" formatCode="[$$-1009]#,##0"/>
    </dxf>
    <dxf>
      <numFmt numFmtId="165" formatCode="&quot;₹&quot;\ #,##0"/>
    </dxf>
    <dxf>
      <numFmt numFmtId="166" formatCode="[$$-1009]#,##0"/>
    </dxf>
    <dxf>
      <numFmt numFmtId="166" formatCode="[$$-1009]#,##0"/>
    </dxf>
    <dxf>
      <numFmt numFmtId="166" formatCode="[$$-1009]#,##0"/>
    </dxf>
    <dxf>
      <numFmt numFmtId="166" formatCode="[$$-1009]#,##0"/>
    </dxf>
    <dxf>
      <numFmt numFmtId="165" formatCode="&quot;₹&quot;\ #,##0"/>
    </dxf>
    <dxf>
      <numFmt numFmtId="166" formatCode="[$$-1009]#,##0"/>
    </dxf>
    <dxf>
      <numFmt numFmtId="166" formatCode="[$$-1009]#,##0"/>
    </dxf>
    <dxf>
      <numFmt numFmtId="0" formatCode="General"/>
    </dxf>
    <dxf>
      <numFmt numFmtId="0" formatCode="General"/>
    </dxf>
    <dxf>
      <numFmt numFmtId="0" formatCode="General"/>
    </dxf>
    <dxf>
      <numFmt numFmtId="164" formatCode="d\-mmm\-yy"/>
    </dxf>
    <dxf>
      <numFmt numFmtId="164" formatCode="d\-mmm\-yy"/>
    </dxf>
  </dxfs>
  <tableStyles count="0" defaultTableStyle="TableStyleMedium2" defaultPivotStyle="PivotStyleLight16"/>
  <colors>
    <mruColors>
      <color rgb="FF03770E"/>
      <color rgb="FF79B56B"/>
      <color rgb="FF0C6E2D"/>
      <color rgb="FF1A602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[ecommerce-blank1.xlsx]Sheet1!Pivot2</c:name>
    <c:fmtId val="5"/>
  </c:pivotSource>
  <c:chart>
    <c:title>
      <c:tx>
        <c:rich>
          <a:bodyPr rot="0" spcFirstLastPara="1" vertOverflow="ellipsis" vert="horz" wrap="square" anchor="ctr" anchorCtr="1"/>
          <a:lstStyle/>
          <a:p>
            <a:pPr algn="l">
              <a:defRPr sz="2400" b="1" i="0" u="none" strike="noStrike" kern="1200" spc="0" baseline="0">
                <a:solidFill>
                  <a:schemeClr val="tx1">
                    <a:lumMod val="65000"/>
                    <a:lumOff val="35000"/>
                  </a:schemeClr>
                </a:solidFill>
                <a:latin typeface="+mn-lt"/>
                <a:ea typeface="+mn-ea"/>
                <a:cs typeface="+mn-cs"/>
              </a:defRPr>
            </a:pPr>
            <a:r>
              <a:rPr lang="en-IN" sz="2400" b="1" i="0" u="none" strike="noStrike" baseline="0">
                <a:effectLst/>
              </a:rPr>
              <a:t>Trend in the last 13 weeks-Qty &amp; Amount</a:t>
            </a:r>
            <a:r>
              <a:rPr lang="en-IN" sz="2400" b="1" i="0" u="none" strike="noStrike" baseline="0"/>
              <a:t> </a:t>
            </a:r>
            <a:endParaRPr lang="en-IN" sz="2400" b="1"/>
          </a:p>
        </c:rich>
      </c:tx>
      <c:layout>
        <c:manualLayout>
          <c:xMode val="edge"/>
          <c:yMode val="edge"/>
          <c:x val="0.1681410946815419"/>
          <c:y val="2.0363835283391581E-2"/>
        </c:manualLayout>
      </c:layout>
      <c:overlay val="0"/>
      <c:spPr>
        <a:noFill/>
        <a:ln>
          <a:noFill/>
        </a:ln>
        <a:effectLst/>
      </c:spPr>
      <c:txPr>
        <a:bodyPr rot="0" spcFirstLastPara="1" vertOverflow="ellipsis" vert="horz" wrap="square" anchor="ctr" anchorCtr="1"/>
        <a:lstStyle/>
        <a:p>
          <a:pPr algn="l">
            <a:defRPr sz="2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0070C0"/>
            </a:solidFill>
            <a:round/>
          </a:ln>
          <a:effectLst/>
        </c:spPr>
        <c:marker>
          <c:symbol val="circle"/>
          <c:size val="5"/>
          <c:spPr>
            <a:solidFill>
              <a:schemeClr val="bg1"/>
            </a:solidFill>
            <a:ln w="9525">
              <a:solidFill>
                <a:srgbClr val="0070C0"/>
              </a:solidFill>
            </a:ln>
            <a:effectLst/>
          </c:spPr>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5"/>
        <c:spPr>
          <a:ln w="28575" cap="rnd">
            <a:solidFill>
              <a:srgbClr val="FF0000"/>
            </a:solidFill>
            <a:round/>
          </a:ln>
          <a:effectLst/>
        </c:spPr>
        <c:marker>
          <c:symbol val="circle"/>
          <c:size val="5"/>
          <c:spPr>
            <a:solidFill>
              <a:srgbClr val="C00000"/>
            </a:solidFill>
            <a:ln w="9525">
              <a:solidFill>
                <a:srgbClr val="FF0000"/>
              </a:solidFill>
            </a:ln>
            <a:effectLst/>
          </c:spPr>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rgbClr val="0070C0"/>
            </a:solidFill>
            <a:round/>
          </a:ln>
          <a:effectLst/>
        </c:spPr>
        <c:marker>
          <c:symbol val="circle"/>
          <c:size val="5"/>
          <c:spPr>
            <a:solidFill>
              <a:schemeClr val="bg1"/>
            </a:solidFill>
            <a:ln w="9525">
              <a:solidFill>
                <a:srgbClr val="0070C0"/>
              </a:solidFill>
            </a:ln>
            <a:effectLst/>
          </c:spPr>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7"/>
        <c:spPr>
          <a:ln w="28575" cap="rnd">
            <a:solidFill>
              <a:srgbClr val="0070C0"/>
            </a:solidFill>
            <a:round/>
          </a:ln>
          <a:effectLst/>
        </c:spPr>
        <c:marker>
          <c:symbol val="circle"/>
          <c:size val="5"/>
          <c:spPr>
            <a:solidFill>
              <a:schemeClr val="bg1"/>
            </a:solidFill>
            <a:ln w="9525">
              <a:solidFill>
                <a:srgbClr val="0070C0"/>
              </a:solidFill>
            </a:ln>
            <a:effectLst/>
          </c:spPr>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8"/>
        <c:spPr>
          <a:ln w="28575" cap="rnd">
            <a:solidFill>
              <a:srgbClr val="0070C0"/>
            </a:solidFill>
            <a:round/>
          </a:ln>
          <a:effectLst/>
        </c:spPr>
        <c:marker>
          <c:symbol val="circle"/>
          <c:size val="5"/>
          <c:spPr>
            <a:solidFill>
              <a:schemeClr val="bg1"/>
            </a:solidFill>
            <a:ln w="9525">
              <a:solidFill>
                <a:srgbClr val="0070C0"/>
              </a:solidFill>
            </a:ln>
            <a:effectLst/>
          </c:spPr>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9"/>
        <c:spPr>
          <a:ln w="28575" cap="rnd">
            <a:solidFill>
              <a:srgbClr val="0070C0"/>
            </a:solidFill>
            <a:round/>
          </a:ln>
          <a:effectLst/>
        </c:spPr>
        <c:marker>
          <c:symbol val="circle"/>
          <c:size val="5"/>
          <c:spPr>
            <a:solidFill>
              <a:schemeClr val="bg1"/>
            </a:solidFill>
            <a:ln w="9525">
              <a:solidFill>
                <a:srgbClr val="0070C0"/>
              </a:solidFill>
            </a:ln>
            <a:effectLst/>
          </c:spPr>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10"/>
        <c:spPr>
          <a:ln w="28575" cap="rnd">
            <a:solidFill>
              <a:srgbClr val="0070C0"/>
            </a:solidFill>
            <a:round/>
          </a:ln>
          <a:effectLst/>
        </c:spPr>
        <c:marker>
          <c:symbol val="circle"/>
          <c:size val="5"/>
          <c:spPr>
            <a:solidFill>
              <a:schemeClr val="bg1"/>
            </a:solidFill>
            <a:ln w="9525">
              <a:solidFill>
                <a:srgbClr val="0070C0"/>
              </a:solidFill>
            </a:ln>
            <a:effectLst/>
          </c:spPr>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11"/>
        <c:spPr>
          <a:ln w="28575" cap="rnd">
            <a:solidFill>
              <a:srgbClr val="0070C0"/>
            </a:solidFill>
            <a:round/>
          </a:ln>
          <a:effectLst/>
        </c:spPr>
        <c:marker>
          <c:symbol val="circle"/>
          <c:size val="5"/>
          <c:spPr>
            <a:solidFill>
              <a:schemeClr val="bg1"/>
            </a:solidFill>
            <a:ln w="9525">
              <a:solidFill>
                <a:srgbClr val="0070C0"/>
              </a:solidFill>
            </a:ln>
            <a:effectLst/>
          </c:spPr>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12"/>
        <c:spPr>
          <a:ln w="28575" cap="rnd">
            <a:solidFill>
              <a:srgbClr val="0070C0"/>
            </a:solidFill>
            <a:round/>
          </a:ln>
          <a:effectLst/>
        </c:spPr>
        <c:marker>
          <c:symbol val="circle"/>
          <c:size val="5"/>
          <c:spPr>
            <a:solidFill>
              <a:schemeClr val="bg1"/>
            </a:solidFill>
            <a:ln w="9525">
              <a:solidFill>
                <a:srgbClr val="0070C0"/>
              </a:solidFill>
            </a:ln>
            <a:effectLst/>
          </c:spPr>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13"/>
        <c:spPr>
          <a:ln w="28575" cap="rnd">
            <a:solidFill>
              <a:srgbClr val="0070C0"/>
            </a:solidFill>
            <a:round/>
          </a:ln>
          <a:effectLst/>
        </c:spPr>
        <c:marker>
          <c:symbol val="circle"/>
          <c:size val="5"/>
          <c:spPr>
            <a:solidFill>
              <a:schemeClr val="bg1"/>
            </a:solidFill>
            <a:ln w="9525">
              <a:solidFill>
                <a:srgbClr val="0070C0"/>
              </a:solidFill>
            </a:ln>
            <a:effectLst/>
          </c:spPr>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14"/>
        <c:spPr>
          <a:ln w="28575" cap="rnd">
            <a:solidFill>
              <a:srgbClr val="0070C0"/>
            </a:solidFill>
            <a:round/>
          </a:ln>
          <a:effectLst/>
        </c:spPr>
        <c:marker>
          <c:symbol val="circle"/>
          <c:size val="5"/>
          <c:spPr>
            <a:solidFill>
              <a:schemeClr val="bg1"/>
            </a:solidFill>
            <a:ln w="9525">
              <a:solidFill>
                <a:srgbClr val="0070C0"/>
              </a:solidFill>
            </a:ln>
            <a:effectLst/>
          </c:spPr>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15"/>
        <c:spPr>
          <a:ln w="28575" cap="rnd">
            <a:solidFill>
              <a:srgbClr val="0070C0"/>
            </a:solidFill>
            <a:round/>
          </a:ln>
          <a:effectLst/>
        </c:spPr>
        <c:marker>
          <c:symbol val="circle"/>
          <c:size val="5"/>
          <c:spPr>
            <a:solidFill>
              <a:schemeClr val="bg1"/>
            </a:solidFill>
            <a:ln w="9525">
              <a:solidFill>
                <a:srgbClr val="0070C0"/>
              </a:solidFill>
            </a:ln>
            <a:effectLst/>
          </c:spPr>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16"/>
        <c:spPr>
          <a:ln w="28575" cap="rnd">
            <a:solidFill>
              <a:srgbClr val="0070C0"/>
            </a:solidFill>
            <a:round/>
          </a:ln>
          <a:effectLst/>
        </c:spPr>
        <c:marker>
          <c:symbol val="circle"/>
          <c:size val="5"/>
          <c:spPr>
            <a:solidFill>
              <a:schemeClr val="bg1"/>
            </a:solidFill>
            <a:ln w="9525">
              <a:solidFill>
                <a:srgbClr val="0070C0"/>
              </a:solidFill>
            </a:ln>
            <a:effectLst/>
          </c:spPr>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17"/>
        <c:spPr>
          <a:ln w="28575" cap="rnd">
            <a:solidFill>
              <a:srgbClr val="0070C0"/>
            </a:solidFill>
            <a:round/>
          </a:ln>
          <a:effectLst/>
        </c:spPr>
        <c:marker>
          <c:symbol val="circle"/>
          <c:size val="5"/>
          <c:spPr>
            <a:solidFill>
              <a:schemeClr val="bg1"/>
            </a:solidFill>
            <a:ln w="9525">
              <a:solidFill>
                <a:srgbClr val="0070C0"/>
              </a:solidFill>
            </a:ln>
            <a:effectLst/>
          </c:spPr>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18"/>
        <c:spPr>
          <a:ln w="28575" cap="rnd">
            <a:solidFill>
              <a:srgbClr val="0070C0"/>
            </a:solidFill>
            <a:round/>
          </a:ln>
          <a:effectLst/>
        </c:spPr>
        <c:marker>
          <c:symbol val="circle"/>
          <c:size val="5"/>
          <c:spPr>
            <a:solidFill>
              <a:schemeClr val="bg1"/>
            </a:solidFill>
            <a:ln w="9525">
              <a:solidFill>
                <a:srgbClr val="0070C0"/>
              </a:solidFill>
            </a:ln>
            <a:effectLst/>
          </c:spPr>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s>
    <c:plotArea>
      <c:layout>
        <c:manualLayout>
          <c:layoutTarget val="inner"/>
          <c:xMode val="edge"/>
          <c:yMode val="edge"/>
          <c:x val="0.10299563034699749"/>
          <c:y val="6.132208740820997E-2"/>
          <c:w val="0.72939900497004206"/>
          <c:h val="0.84863413331812676"/>
        </c:manualLayout>
      </c:layout>
      <c:lineChart>
        <c:grouping val="stacked"/>
        <c:varyColors val="0"/>
        <c:ser>
          <c:idx val="0"/>
          <c:order val="0"/>
          <c:tx>
            <c:strRef>
              <c:f>Sheet1!$B$11</c:f>
              <c:strCache>
                <c:ptCount val="1"/>
                <c:pt idx="0">
                  <c:v>Sum of Quantity</c:v>
                </c:pt>
              </c:strCache>
            </c:strRef>
          </c:tx>
          <c:spPr>
            <a:ln w="28575" cap="rnd">
              <a:solidFill>
                <a:srgbClr val="0070C0"/>
              </a:solidFill>
              <a:round/>
            </a:ln>
            <a:effectLst/>
          </c:spPr>
          <c:marker>
            <c:symbol val="circle"/>
            <c:size val="5"/>
            <c:spPr>
              <a:solidFill>
                <a:schemeClr val="bg1"/>
              </a:solidFill>
              <a:ln w="9525">
                <a:solidFill>
                  <a:srgbClr val="0070C0"/>
                </a:solidFill>
              </a:ln>
              <a:effectLst/>
            </c:spPr>
          </c:marker>
          <c:cat>
            <c:strRef>
              <c:f>Sheet1!$A$12:$A$25</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Sheet1!$B$12:$B$25</c:f>
              <c:numCache>
                <c:formatCode>General</c:formatCode>
                <c:ptCount val="13"/>
                <c:pt idx="0">
                  <c:v>28</c:v>
                </c:pt>
                <c:pt idx="1">
                  <c:v>30</c:v>
                </c:pt>
                <c:pt idx="2">
                  <c:v>45</c:v>
                </c:pt>
                <c:pt idx="3">
                  <c:v>48</c:v>
                </c:pt>
                <c:pt idx="4">
                  <c:v>33</c:v>
                </c:pt>
                <c:pt idx="5">
                  <c:v>60</c:v>
                </c:pt>
                <c:pt idx="6">
                  <c:v>77</c:v>
                </c:pt>
                <c:pt idx="7">
                  <c:v>55</c:v>
                </c:pt>
                <c:pt idx="8">
                  <c:v>133</c:v>
                </c:pt>
                <c:pt idx="9">
                  <c:v>106</c:v>
                </c:pt>
                <c:pt idx="10">
                  <c:v>40</c:v>
                </c:pt>
                <c:pt idx="11">
                  <c:v>26</c:v>
                </c:pt>
                <c:pt idx="12">
                  <c:v>55</c:v>
                </c:pt>
              </c:numCache>
            </c:numRef>
          </c:val>
          <c:smooth val="0"/>
          <c:extLst>
            <c:ext xmlns:c16="http://schemas.microsoft.com/office/drawing/2014/chart" uri="{C3380CC4-5D6E-409C-BE32-E72D297353CC}">
              <c16:uniqueId val="{00000000-8356-4C10-BB1F-6A0E7FD5EF9C}"/>
            </c:ext>
          </c:extLst>
        </c:ser>
        <c:dLbls>
          <c:showLegendKey val="0"/>
          <c:showVal val="0"/>
          <c:showCatName val="0"/>
          <c:showSerName val="0"/>
          <c:showPercent val="0"/>
          <c:showBubbleSize val="0"/>
        </c:dLbls>
        <c:marker val="1"/>
        <c:smooth val="0"/>
        <c:axId val="428377296"/>
        <c:axId val="428376816"/>
      </c:lineChart>
      <c:lineChart>
        <c:grouping val="stacked"/>
        <c:varyColors val="0"/>
        <c:ser>
          <c:idx val="1"/>
          <c:order val="1"/>
          <c:tx>
            <c:strRef>
              <c:f>Sheet1!$C$11</c:f>
              <c:strCache>
                <c:ptCount val="1"/>
                <c:pt idx="0">
                  <c:v>Sum of Amount</c:v>
                </c:pt>
              </c:strCache>
            </c:strRef>
          </c:tx>
          <c:spPr>
            <a:ln w="28575" cap="rnd">
              <a:solidFill>
                <a:srgbClr val="FF0000"/>
              </a:solidFill>
              <a:round/>
            </a:ln>
            <a:effectLst/>
          </c:spPr>
          <c:marker>
            <c:symbol val="circle"/>
            <c:size val="5"/>
            <c:spPr>
              <a:solidFill>
                <a:srgbClr val="C00000"/>
              </a:solidFill>
              <a:ln w="9525">
                <a:solidFill>
                  <a:srgbClr val="FF0000"/>
                </a:solidFill>
              </a:ln>
              <a:effectLst/>
            </c:spPr>
          </c:marker>
          <c:cat>
            <c:strRef>
              <c:f>Sheet1!$A$12:$A$25</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Sheet1!$C$12:$C$25</c:f>
              <c:numCache>
                <c:formatCode>[$$-1009]#,##0</c:formatCode>
                <c:ptCount val="13"/>
                <c:pt idx="0">
                  <c:v>1567.2</c:v>
                </c:pt>
                <c:pt idx="1">
                  <c:v>1115.9000000000001</c:v>
                </c:pt>
                <c:pt idx="2">
                  <c:v>2315.1</c:v>
                </c:pt>
                <c:pt idx="3">
                  <c:v>1812.1999999999998</c:v>
                </c:pt>
                <c:pt idx="4">
                  <c:v>1490.3</c:v>
                </c:pt>
                <c:pt idx="5">
                  <c:v>3164.5</c:v>
                </c:pt>
                <c:pt idx="6">
                  <c:v>7220.9</c:v>
                </c:pt>
                <c:pt idx="7">
                  <c:v>2771.3</c:v>
                </c:pt>
                <c:pt idx="8">
                  <c:v>12498.000000000004</c:v>
                </c:pt>
                <c:pt idx="9">
                  <c:v>8208.9</c:v>
                </c:pt>
                <c:pt idx="10">
                  <c:v>2464.7999999999997</c:v>
                </c:pt>
                <c:pt idx="11">
                  <c:v>1022.1999999999998</c:v>
                </c:pt>
                <c:pt idx="12">
                  <c:v>4731.0999999999995</c:v>
                </c:pt>
              </c:numCache>
            </c:numRef>
          </c:val>
          <c:smooth val="0"/>
          <c:extLst>
            <c:ext xmlns:c16="http://schemas.microsoft.com/office/drawing/2014/chart" uri="{C3380CC4-5D6E-409C-BE32-E72D297353CC}">
              <c16:uniqueId val="{00000001-8356-4C10-BB1F-6A0E7FD5EF9C}"/>
            </c:ext>
          </c:extLst>
        </c:ser>
        <c:dLbls>
          <c:showLegendKey val="0"/>
          <c:showVal val="0"/>
          <c:showCatName val="0"/>
          <c:showSerName val="0"/>
          <c:showPercent val="0"/>
          <c:showBubbleSize val="0"/>
        </c:dLbls>
        <c:marker val="1"/>
        <c:smooth val="0"/>
        <c:axId val="629395200"/>
        <c:axId val="629394240"/>
      </c:lineChart>
      <c:catAx>
        <c:axId val="428377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428376816"/>
        <c:crosses val="autoZero"/>
        <c:auto val="1"/>
        <c:lblAlgn val="ctr"/>
        <c:lblOffset val="100"/>
        <c:noMultiLvlLbl val="0"/>
      </c:catAx>
      <c:valAx>
        <c:axId val="428376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428377296"/>
        <c:crosses val="autoZero"/>
        <c:crossBetween val="between"/>
      </c:valAx>
      <c:valAx>
        <c:axId val="629394240"/>
        <c:scaling>
          <c:orientation val="minMax"/>
        </c:scaling>
        <c:delete val="0"/>
        <c:axPos val="r"/>
        <c:numFmt formatCode="[$$-1009]#,##0" sourceLinked="1"/>
        <c:majorTickMark val="out"/>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629395200"/>
        <c:crosses val="max"/>
        <c:crossBetween val="between"/>
      </c:valAx>
      <c:catAx>
        <c:axId val="629395200"/>
        <c:scaling>
          <c:orientation val="minMax"/>
        </c:scaling>
        <c:delete val="1"/>
        <c:axPos val="b"/>
        <c:numFmt formatCode="General" sourceLinked="1"/>
        <c:majorTickMark val="out"/>
        <c:minorTickMark val="none"/>
        <c:tickLblPos val="nextTo"/>
        <c:crossAx val="629394240"/>
        <c:auto val="1"/>
        <c:lblAlgn val="ctr"/>
        <c:lblOffset val="100"/>
        <c:noMultiLvlLbl val="0"/>
      </c:catAx>
      <c:spPr>
        <a:solidFill>
          <a:schemeClr val="bg1"/>
        </a:solidFill>
        <a:ln>
          <a:solidFill>
            <a:schemeClr val="bg1"/>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r>
              <a:rPr lang="en-IN" sz="2400" b="1"/>
              <a:t>How</a:t>
            </a:r>
            <a:r>
              <a:rPr lang="en-IN" sz="2400" b="1" baseline="0"/>
              <a:t> many they buy ?</a:t>
            </a:r>
            <a:endParaRPr lang="en-IN" sz="2400" b="1"/>
          </a:p>
        </c:rich>
      </c:tx>
      <c:overlay val="0"/>
      <c:spPr>
        <a:noFill/>
        <a:ln>
          <a:noFill/>
        </a:ln>
        <a:effectLst/>
      </c:spPr>
      <c:txPr>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solidFill>
              <a:srgbClr val="FF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745914419755989"/>
          <c:y val="0.11204762819567107"/>
          <c:w val="0.71221364891277172"/>
          <c:h val="0.72304176438780443"/>
        </c:manualLayout>
      </c:layout>
      <c:barChart>
        <c:barDir val="col"/>
        <c:grouping val="clustered"/>
        <c:varyColors val="0"/>
        <c:ser>
          <c:idx val="0"/>
          <c:order val="0"/>
          <c:tx>
            <c:v>Total</c:v>
          </c:tx>
          <c:spPr>
            <a:solidFill>
              <a:srgbClr val="FF0000"/>
            </a:solidFill>
            <a:ln>
              <a:solidFill>
                <a:srgbClr val="FF0000"/>
              </a:solidFill>
            </a:ln>
            <a:effectLst/>
          </c:spPr>
          <c:invertIfNegative val="0"/>
          <c:cat>
            <c:strLit>
              <c:ptCount val="4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38</c:v>
              </c:pt>
              <c:pt idx="37">
                <c:v>40</c:v>
              </c:pt>
              <c:pt idx="38">
                <c:v>41</c:v>
              </c:pt>
              <c:pt idx="39">
                <c:v>42</c:v>
              </c:pt>
              <c:pt idx="40">
                <c:v>43</c:v>
              </c:pt>
              <c:pt idx="41">
                <c:v>45</c:v>
              </c:pt>
              <c:pt idx="42">
                <c:v>47</c:v>
              </c:pt>
              <c:pt idx="43">
                <c:v>49</c:v>
              </c:pt>
              <c:pt idx="44">
                <c:v>62</c:v>
              </c:pt>
              <c:pt idx="45">
                <c:v>63</c:v>
              </c:pt>
              <c:pt idx="46">
                <c:v>70</c:v>
              </c:pt>
              <c:pt idx="47">
                <c:v>87</c:v>
              </c:pt>
            </c:strLit>
          </c:cat>
          <c:val>
            <c:numLit>
              <c:formatCode>General</c:formatCode>
              <c:ptCount val="48"/>
              <c:pt idx="0">
                <c:v>397</c:v>
              </c:pt>
              <c:pt idx="1">
                <c:v>540</c:v>
              </c:pt>
              <c:pt idx="2">
                <c:v>375</c:v>
              </c:pt>
              <c:pt idx="3">
                <c:v>246</c:v>
              </c:pt>
              <c:pt idx="4">
                <c:v>195</c:v>
              </c:pt>
              <c:pt idx="5">
                <c:v>122</c:v>
              </c:pt>
              <c:pt idx="6">
                <c:v>114</c:v>
              </c:pt>
              <c:pt idx="7">
                <c:v>73</c:v>
              </c:pt>
              <c:pt idx="8">
                <c:v>52</c:v>
              </c:pt>
              <c:pt idx="9">
                <c:v>53</c:v>
              </c:pt>
              <c:pt idx="10">
                <c:v>37</c:v>
              </c:pt>
              <c:pt idx="11">
                <c:v>33</c:v>
              </c:pt>
              <c:pt idx="12">
                <c:v>23</c:v>
              </c:pt>
              <c:pt idx="13">
                <c:v>17</c:v>
              </c:pt>
              <c:pt idx="14">
                <c:v>15</c:v>
              </c:pt>
              <c:pt idx="15">
                <c:v>13</c:v>
              </c:pt>
              <c:pt idx="16">
                <c:v>10</c:v>
              </c:pt>
              <c:pt idx="17">
                <c:v>10</c:v>
              </c:pt>
              <c:pt idx="18">
                <c:v>13</c:v>
              </c:pt>
              <c:pt idx="19">
                <c:v>4</c:v>
              </c:pt>
              <c:pt idx="20">
                <c:v>4</c:v>
              </c:pt>
              <c:pt idx="21">
                <c:v>4</c:v>
              </c:pt>
              <c:pt idx="22">
                <c:v>4</c:v>
              </c:pt>
              <c:pt idx="23">
                <c:v>3</c:v>
              </c:pt>
              <c:pt idx="24">
                <c:v>3</c:v>
              </c:pt>
              <c:pt idx="25">
                <c:v>4</c:v>
              </c:pt>
              <c:pt idx="26">
                <c:v>4</c:v>
              </c:pt>
              <c:pt idx="27">
                <c:v>5</c:v>
              </c:pt>
              <c:pt idx="28">
                <c:v>2</c:v>
              </c:pt>
              <c:pt idx="29">
                <c:v>4</c:v>
              </c:pt>
              <c:pt idx="30">
                <c:v>1</c:v>
              </c:pt>
              <c:pt idx="31">
                <c:v>1</c:v>
              </c:pt>
              <c:pt idx="32">
                <c:v>1</c:v>
              </c:pt>
              <c:pt idx="33">
                <c:v>2</c:v>
              </c:pt>
              <c:pt idx="34">
                <c:v>2</c:v>
              </c:pt>
              <c:pt idx="35">
                <c:v>2</c:v>
              </c:pt>
              <c:pt idx="36">
                <c:v>1</c:v>
              </c:pt>
              <c:pt idx="37">
                <c:v>1</c:v>
              </c:pt>
              <c:pt idx="38">
                <c:v>1</c:v>
              </c:pt>
              <c:pt idx="39">
                <c:v>1</c:v>
              </c:pt>
              <c:pt idx="40">
                <c:v>1</c:v>
              </c:pt>
              <c:pt idx="41">
                <c:v>1</c:v>
              </c:pt>
              <c:pt idx="42">
                <c:v>1</c:v>
              </c:pt>
              <c:pt idx="43">
                <c:v>1</c:v>
              </c:pt>
              <c:pt idx="44">
                <c:v>1</c:v>
              </c:pt>
              <c:pt idx="45">
                <c:v>1</c:v>
              </c:pt>
              <c:pt idx="46">
                <c:v>1</c:v>
              </c:pt>
              <c:pt idx="47">
                <c:v>1</c:v>
              </c:pt>
            </c:numLit>
          </c:val>
          <c:extLst>
            <c:ext xmlns:c16="http://schemas.microsoft.com/office/drawing/2014/chart" uri="{C3380CC4-5D6E-409C-BE32-E72D297353CC}">
              <c16:uniqueId val="{00000000-BFB8-4E90-BE8B-16167759911A}"/>
            </c:ext>
          </c:extLst>
        </c:ser>
        <c:dLbls>
          <c:showLegendKey val="0"/>
          <c:showVal val="0"/>
          <c:showCatName val="0"/>
          <c:showSerName val="0"/>
          <c:showPercent val="0"/>
          <c:showBubbleSize val="0"/>
        </c:dLbls>
        <c:gapWidth val="219"/>
        <c:axId val="564398656"/>
        <c:axId val="564401536"/>
      </c:barChart>
      <c:catAx>
        <c:axId val="564398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564401536"/>
        <c:crosses val="autoZero"/>
        <c:auto val="1"/>
        <c:lblAlgn val="ctr"/>
        <c:lblOffset val="100"/>
        <c:noMultiLvlLbl val="0"/>
      </c:catAx>
      <c:valAx>
        <c:axId val="564401536"/>
        <c:scaling>
          <c:orientation val="minMax"/>
        </c:scaling>
        <c:delete val="0"/>
        <c:axPos val="l"/>
        <c:majorGridlines>
          <c:spPr>
            <a:ln w="9525" cap="flat" cmpd="sng" algn="ctr">
              <a:solidFill>
                <a:schemeClr val="bg1"/>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564398656"/>
        <c:crosses val="autoZero"/>
        <c:crossBetween val="between"/>
      </c:valAx>
      <c:spPr>
        <a:solidFill>
          <a:schemeClr val="bg1"/>
        </a:solidFill>
        <a:ln>
          <a:solidFill>
            <a:schemeClr val="bg1"/>
          </a:solidFill>
        </a:ln>
        <a:effectLst/>
      </c:spPr>
    </c:plotArea>
    <c:legend>
      <c:legendPos val="r"/>
      <c:overlay val="0"/>
      <c:spPr>
        <a:noFill/>
        <a:ln>
          <a:noFill/>
        </a:ln>
        <a:effectLst/>
      </c:spPr>
      <c:txPr>
        <a:bodyPr rot="0" spcFirstLastPara="1" vertOverflow="ellipsis" vert="horz" wrap="square" anchor="ctr" anchorCtr="1"/>
        <a:lstStyle/>
        <a:p>
          <a:pPr>
            <a:defRPr sz="1400" b="1" i="0" u="none" strike="noStrike" kern="1200" baseline="0">
              <a:solidFill>
                <a:srgbClr val="FF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r>
              <a:rPr lang="en-IN" sz="2400" b="1"/>
              <a:t>Which Products  are Popular?Breakdown  by Gender</a:t>
            </a:r>
          </a:p>
        </c:rich>
      </c:tx>
      <c:overlay val="0"/>
      <c:spPr>
        <a:noFill/>
        <a:ln>
          <a:noFill/>
        </a:ln>
        <a:effectLst/>
      </c:spPr>
      <c:txPr>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6"/>
        <c:spPr>
          <a:solidFill>
            <a:srgbClr val="00B0F0"/>
          </a:solidFill>
          <a:ln>
            <a:solidFill>
              <a:srgbClr val="00B0F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FFC000"/>
          </a:solidFill>
          <a:ln>
            <a:solidFill>
              <a:srgbClr val="FFC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FF0000"/>
          </a:solidFill>
          <a:ln>
            <a:solidFill>
              <a:srgbClr val="FF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rgbClr val="92D050"/>
          </a:solidFill>
          <a:ln>
            <a:solidFill>
              <a:srgbClr val="00B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v/>
          </c:tx>
          <c:spPr>
            <a:solidFill>
              <a:srgbClr val="00B0F0"/>
            </a:solidFill>
            <a:ln>
              <a:solidFill>
                <a:srgbClr val="00B0F0"/>
              </a:solidFill>
            </a:ln>
            <a:effectLst/>
          </c:spPr>
          <c:invertIfNegative val="0"/>
          <c:cat>
            <c:strLit>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Lit>
          </c:cat>
          <c:val>
            <c:numLit>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5">
                <c:v>0</c:v>
              </c:pt>
              <c:pt idx="16">
                <c:v>24</c:v>
              </c:pt>
              <c:pt idx="17">
                <c:v>6</c:v>
              </c:pt>
              <c:pt idx="18">
                <c:v>6</c:v>
              </c:pt>
              <c:pt idx="19">
                <c:v>0</c:v>
              </c:pt>
            </c:numLit>
          </c:val>
          <c:extLst>
            <c:ext xmlns:c16="http://schemas.microsoft.com/office/drawing/2014/chart" uri="{C3380CC4-5D6E-409C-BE32-E72D297353CC}">
              <c16:uniqueId val="{00000000-4A8F-47B9-9978-B9D9B1A4ED8F}"/>
            </c:ext>
          </c:extLst>
        </c:ser>
        <c:ser>
          <c:idx val="1"/>
          <c:order val="1"/>
          <c:tx>
            <c:v>F</c:v>
          </c:tx>
          <c:spPr>
            <a:solidFill>
              <a:srgbClr val="FFC000"/>
            </a:solidFill>
            <a:ln>
              <a:solidFill>
                <a:srgbClr val="FFC000"/>
              </a:solidFill>
            </a:ln>
            <a:effectLst/>
          </c:spPr>
          <c:invertIfNegative val="0"/>
          <c:cat>
            <c:strLit>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Lit>
          </c:cat>
          <c:val>
            <c:numLit>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Lit>
          </c:val>
          <c:extLst>
            <c:ext xmlns:c16="http://schemas.microsoft.com/office/drawing/2014/chart" uri="{C3380CC4-5D6E-409C-BE32-E72D297353CC}">
              <c16:uniqueId val="{00000001-4A8F-47B9-9978-B9D9B1A4ED8F}"/>
            </c:ext>
          </c:extLst>
        </c:ser>
        <c:ser>
          <c:idx val="2"/>
          <c:order val="2"/>
          <c:tx>
            <c:v>M</c:v>
          </c:tx>
          <c:spPr>
            <a:solidFill>
              <a:srgbClr val="FF0000"/>
            </a:solidFill>
            <a:ln>
              <a:solidFill>
                <a:srgbClr val="FF0000"/>
              </a:solidFill>
            </a:ln>
            <a:effectLst/>
          </c:spPr>
          <c:invertIfNegative val="0"/>
          <c:cat>
            <c:strLit>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Lit>
          </c:cat>
          <c:val>
            <c:numLit>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Lit>
          </c:val>
          <c:extLst>
            <c:ext xmlns:c16="http://schemas.microsoft.com/office/drawing/2014/chart" uri="{C3380CC4-5D6E-409C-BE32-E72D297353CC}">
              <c16:uniqueId val="{00000002-4A8F-47B9-9978-B9D9B1A4ED8F}"/>
            </c:ext>
          </c:extLst>
        </c:ser>
        <c:ser>
          <c:idx val="3"/>
          <c:order val="3"/>
          <c:tx>
            <c:v>O</c:v>
          </c:tx>
          <c:spPr>
            <a:solidFill>
              <a:srgbClr val="92D050"/>
            </a:solidFill>
            <a:ln>
              <a:solidFill>
                <a:srgbClr val="00B050"/>
              </a:solidFill>
            </a:ln>
            <a:effectLst/>
          </c:spPr>
          <c:invertIfNegative val="0"/>
          <c:cat>
            <c:strLit>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Lit>
          </c:cat>
          <c:val>
            <c:numLit>
              <c:formatCode>General</c:formatCode>
              <c:ptCount val="20"/>
              <c:pt idx="0">
                <c:v>90</c:v>
              </c:pt>
              <c:pt idx="1">
                <c:v>18</c:v>
              </c:pt>
              <c:pt idx="2">
                <c:v>29</c:v>
              </c:pt>
              <c:pt idx="3">
                <c:v>22</c:v>
              </c:pt>
              <c:pt idx="4">
                <c:v>8</c:v>
              </c:pt>
              <c:pt idx="5">
                <c:v>0</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Lit>
          </c:val>
          <c:extLst>
            <c:ext xmlns:c16="http://schemas.microsoft.com/office/drawing/2014/chart" uri="{C3380CC4-5D6E-409C-BE32-E72D297353CC}">
              <c16:uniqueId val="{00000003-4A8F-47B9-9978-B9D9B1A4ED8F}"/>
            </c:ext>
          </c:extLst>
        </c:ser>
        <c:dLbls>
          <c:showLegendKey val="0"/>
          <c:showVal val="0"/>
          <c:showCatName val="0"/>
          <c:showSerName val="0"/>
          <c:showPercent val="0"/>
          <c:showBubbleSize val="0"/>
        </c:dLbls>
        <c:gapWidth val="182"/>
        <c:overlap val="100"/>
        <c:axId val="636414912"/>
        <c:axId val="636412512"/>
      </c:barChart>
      <c:catAx>
        <c:axId val="636414912"/>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636412512"/>
        <c:crosses val="autoZero"/>
        <c:auto val="1"/>
        <c:lblAlgn val="ctr"/>
        <c:lblOffset val="100"/>
        <c:noMultiLvlLbl val="0"/>
      </c:catAx>
      <c:valAx>
        <c:axId val="636412512"/>
        <c:scaling>
          <c:orientation val="minMax"/>
        </c:scaling>
        <c:delete val="0"/>
        <c:axPos val="t"/>
        <c:majorGridlines>
          <c:spPr>
            <a:ln w="9525" cap="flat" cmpd="sng" algn="ctr">
              <a:solidFill>
                <a:schemeClr val="bg1">
                  <a:lumMod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636414912"/>
        <c:crosses val="autoZero"/>
        <c:crossBetween val="between"/>
      </c:valAx>
      <c:spPr>
        <a:solidFill>
          <a:schemeClr val="bg1"/>
        </a:solidFill>
        <a:ln>
          <a:solidFill>
            <a:schemeClr val="bg1">
              <a:lumMod val="95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rgbClr val="00B0F0"/>
          </a:solidFill>
          <a:ln>
            <a:solidFill>
              <a:srgbClr val="00B0F0"/>
            </a:solidFill>
          </a:ln>
          <a:effectLst>
            <a:outerShdw blurRad="50800" dist="50800" dir="5400000" sx="97000" sy="97000" algn="ctr" rotWithShape="0">
              <a:srgbClr val="000000">
                <a:alpha val="97000"/>
              </a:srgbClr>
            </a:outerShdw>
          </a:effectLst>
        </c:spPr>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12"/>
        <c:spPr>
          <a:solidFill>
            <a:srgbClr val="FF0000"/>
          </a:solidFill>
          <a:ln w="19050">
            <a:solidFill>
              <a:srgbClr val="FF0000"/>
            </a:solidFill>
          </a:ln>
          <a:effectLst>
            <a:outerShdw blurRad="50800" dist="50800" dir="5400000" sx="97000" sy="97000" algn="ctr" rotWithShape="0">
              <a:srgbClr val="000000">
                <a:alpha val="97000"/>
              </a:srgbClr>
            </a:outerShdw>
          </a:effectLst>
        </c:spPr>
      </c:pivotFmt>
      <c:pivotFmt>
        <c:idx val="13"/>
        <c:spPr>
          <a:solidFill>
            <a:srgbClr val="FFC000"/>
          </a:solidFill>
          <a:ln w="19050">
            <a:solidFill>
              <a:srgbClr val="FFC000"/>
            </a:solidFill>
          </a:ln>
          <a:effectLst>
            <a:outerShdw blurRad="50800" dist="50800" dir="5400000" sx="97000" sy="97000" algn="ctr" rotWithShape="0">
              <a:srgbClr val="000000">
                <a:alpha val="97000"/>
              </a:srgbClr>
            </a:outerShdw>
          </a:effectLst>
        </c:spPr>
      </c:pivotFmt>
      <c:pivotFmt>
        <c:idx val="14"/>
        <c:spPr>
          <a:solidFill>
            <a:srgbClr val="92D050"/>
          </a:solidFill>
          <a:ln w="19050">
            <a:solidFill>
              <a:srgbClr val="92D050"/>
            </a:solidFill>
          </a:ln>
          <a:effectLst>
            <a:outerShdw blurRad="50800" dist="50800" dir="5400000" sx="97000" sy="97000" algn="ctr" rotWithShape="0">
              <a:srgbClr val="000000">
                <a:alpha val="97000"/>
              </a:srgbClr>
            </a:outerShdw>
          </a:effectLst>
        </c:spPr>
      </c:pivotFmt>
      <c:pivotFmt>
        <c:idx val="15"/>
        <c:spPr>
          <a:solidFill>
            <a:srgbClr val="00B0F0"/>
          </a:solidFill>
          <a:ln w="19050">
            <a:solidFill>
              <a:srgbClr val="00B0F0"/>
            </a:solidFill>
          </a:ln>
          <a:effectLst>
            <a:outerShdw blurRad="50800" dist="50800" dir="5400000" sx="97000" sy="97000" algn="ctr" rotWithShape="0">
              <a:srgbClr val="000000">
                <a:alpha val="97000"/>
              </a:srgbClr>
            </a:outerShdw>
          </a:effectLst>
        </c:spPr>
      </c:pivotFmt>
    </c:pivotFmts>
    <c:plotArea>
      <c:layout>
        <c:manualLayout>
          <c:layoutTarget val="inner"/>
          <c:xMode val="edge"/>
          <c:yMode val="edge"/>
          <c:x val="8.9074087012667863E-2"/>
          <c:y val="0.24939596092155147"/>
          <c:w val="0.56655357220297498"/>
          <c:h val="0.68578922426363376"/>
        </c:manualLayout>
      </c:layout>
      <c:doughnutChart>
        <c:varyColors val="1"/>
        <c:ser>
          <c:idx val="0"/>
          <c:order val="0"/>
          <c:tx>
            <c:v>Total</c:v>
          </c:tx>
          <c:spPr>
            <a:solidFill>
              <a:srgbClr val="00B0F0"/>
            </a:solidFill>
            <a:ln>
              <a:solidFill>
                <a:srgbClr val="00B0F0"/>
              </a:solidFill>
            </a:ln>
            <a:effectLst>
              <a:outerShdw blurRad="50800" dist="50800" dir="5400000" sx="97000" sy="97000" algn="ctr" rotWithShape="0">
                <a:srgbClr val="000000">
                  <a:alpha val="97000"/>
                </a:srgbClr>
              </a:outerShdw>
            </a:effectLst>
          </c:spPr>
          <c:dPt>
            <c:idx val="0"/>
            <c:bubble3D val="0"/>
            <c:spPr>
              <a:solidFill>
                <a:srgbClr val="FF0000"/>
              </a:solidFill>
              <a:ln w="19050">
                <a:solidFill>
                  <a:srgbClr val="FF0000"/>
                </a:solidFill>
              </a:ln>
              <a:effectLst>
                <a:outerShdw blurRad="50800" dist="50800" dir="5400000" sx="97000" sy="97000" algn="ctr" rotWithShape="0">
                  <a:srgbClr val="000000">
                    <a:alpha val="97000"/>
                  </a:srgbClr>
                </a:outerShdw>
              </a:effectLst>
            </c:spPr>
            <c:extLst>
              <c:ext xmlns:c16="http://schemas.microsoft.com/office/drawing/2014/chart" uri="{C3380CC4-5D6E-409C-BE32-E72D297353CC}">
                <c16:uniqueId val="{0000000B-6542-4FA6-A5C0-2EB9D634F822}"/>
              </c:ext>
            </c:extLst>
          </c:dPt>
          <c:dPt>
            <c:idx val="1"/>
            <c:bubble3D val="0"/>
            <c:spPr>
              <a:solidFill>
                <a:srgbClr val="FFC000"/>
              </a:solidFill>
              <a:ln w="19050">
                <a:solidFill>
                  <a:srgbClr val="FFC000"/>
                </a:solidFill>
              </a:ln>
              <a:effectLst>
                <a:outerShdw blurRad="50800" dist="50800" dir="5400000" sx="97000" sy="97000" algn="ctr" rotWithShape="0">
                  <a:srgbClr val="000000">
                    <a:alpha val="97000"/>
                  </a:srgbClr>
                </a:outerShdw>
              </a:effectLst>
            </c:spPr>
            <c:extLst>
              <c:ext xmlns:c16="http://schemas.microsoft.com/office/drawing/2014/chart" uri="{C3380CC4-5D6E-409C-BE32-E72D297353CC}">
                <c16:uniqueId val="{0000000D-6542-4FA6-A5C0-2EB9D634F822}"/>
              </c:ext>
            </c:extLst>
          </c:dPt>
          <c:dPt>
            <c:idx val="2"/>
            <c:bubble3D val="0"/>
            <c:spPr>
              <a:solidFill>
                <a:srgbClr val="92D050"/>
              </a:solidFill>
              <a:ln w="19050">
                <a:solidFill>
                  <a:srgbClr val="92D050"/>
                </a:solidFill>
              </a:ln>
              <a:effectLst>
                <a:outerShdw blurRad="50800" dist="50800" dir="5400000" sx="97000" sy="97000" algn="ctr" rotWithShape="0">
                  <a:srgbClr val="000000">
                    <a:alpha val="97000"/>
                  </a:srgbClr>
                </a:outerShdw>
              </a:effectLst>
            </c:spPr>
            <c:extLst>
              <c:ext xmlns:c16="http://schemas.microsoft.com/office/drawing/2014/chart" uri="{C3380CC4-5D6E-409C-BE32-E72D297353CC}">
                <c16:uniqueId val="{0000000F-6542-4FA6-A5C0-2EB9D634F822}"/>
              </c:ext>
            </c:extLst>
          </c:dPt>
          <c:dPt>
            <c:idx val="3"/>
            <c:bubble3D val="0"/>
            <c:spPr>
              <a:solidFill>
                <a:srgbClr val="00B0F0"/>
              </a:solidFill>
              <a:ln w="19050">
                <a:solidFill>
                  <a:srgbClr val="00B0F0"/>
                </a:solidFill>
              </a:ln>
              <a:effectLst>
                <a:outerShdw blurRad="50800" dist="50800" dir="5400000" sx="97000" sy="97000" algn="ctr" rotWithShape="0">
                  <a:srgbClr val="000000">
                    <a:alpha val="97000"/>
                  </a:srgbClr>
                </a:outerShdw>
              </a:effectLst>
            </c:spPr>
            <c:extLst>
              <c:ext xmlns:c16="http://schemas.microsoft.com/office/drawing/2014/chart" uri="{C3380CC4-5D6E-409C-BE32-E72D297353CC}">
                <c16:uniqueId val="{00000011-6542-4FA6-A5C0-2EB9D634F822}"/>
              </c:ext>
            </c:extLst>
          </c:dPt>
          <c:dLbls>
            <c:spPr>
              <a:noFill/>
              <a:ln>
                <a:noFill/>
              </a:ln>
              <a:effectLst/>
            </c:spPr>
            <c:showLegendKey val="0"/>
            <c:showVal val="1"/>
            <c:showCatName val="0"/>
            <c:showSerName val="0"/>
            <c:showPercent val="0"/>
            <c:showBubbleSize val="0"/>
            <c:separator>; </c:separator>
            <c:showLeaderLines val="0"/>
            <c:extLst>
              <c:ext xmlns:c15="http://schemas.microsoft.com/office/drawing/2012/chart" uri="{CE6537A1-D6FC-4f65-9D91-7224C49458BB}"/>
            </c:extLst>
          </c:dLbls>
          <c:cat>
            <c:strLit>
              <c:ptCount val="4"/>
              <c:pt idx="0">
                <c:v>Female</c:v>
              </c:pt>
              <c:pt idx="1">
                <c:v>Male</c:v>
              </c:pt>
              <c:pt idx="2">
                <c:v>Other</c:v>
              </c:pt>
              <c:pt idx="3">
                <c:v>Unknown</c:v>
              </c:pt>
            </c:strLit>
          </c:cat>
          <c:val>
            <c:numLit>
              <c:formatCode>General</c:formatCode>
              <c:ptCount val="4"/>
              <c:pt idx="0">
                <c:v>6272</c:v>
              </c:pt>
              <c:pt idx="1">
                <c:v>4672</c:v>
              </c:pt>
              <c:pt idx="2">
                <c:v>317</c:v>
              </c:pt>
              <c:pt idx="3">
                <c:v>736</c:v>
              </c:pt>
            </c:numLit>
          </c:val>
          <c:extLst>
            <c:ext xmlns:c16="http://schemas.microsoft.com/office/drawing/2014/chart" uri="{C3380CC4-5D6E-409C-BE32-E72D297353CC}">
              <c16:uniqueId val="{00000012-6542-4FA6-A5C0-2EB9D634F822}"/>
            </c:ext>
          </c:extLst>
        </c:ser>
        <c:dLbls>
          <c:showLegendKey val="0"/>
          <c:showVal val="1"/>
          <c:showCatName val="0"/>
          <c:showSerName val="0"/>
          <c:showPercent val="0"/>
          <c:showBubbleSize val="0"/>
          <c:showLeaderLines val="0"/>
        </c:dLbls>
        <c:firstSliceAng val="0"/>
        <c:holeSize val="75"/>
      </c:doughnutChart>
    </c:plotArea>
    <c:legend>
      <c:legendPos val="r"/>
      <c:overlay val="0"/>
      <c:txPr>
        <a:bodyPr/>
        <a:lstStyle/>
        <a:p>
          <a:pPr>
            <a:defRPr sz="1200" b="1"/>
          </a:pPr>
          <a:endParaRPr lang="en-US"/>
        </a:p>
      </c:txPr>
    </c:legend>
    <c:plotVisOnly val="1"/>
    <c:dispBlanksAs val="gap"/>
    <c:showDLblsOverMax val="0"/>
    <c:extLst/>
  </c:chart>
  <c:spPr>
    <a:solidFill>
      <a:schemeClr val="bg1">
        <a:lumMod val="95000"/>
      </a:schemeClr>
    </a:solidFill>
    <a:effectLst>
      <a:glow rad="114300">
        <a:schemeClr val="accent1">
          <a:alpha val="40000"/>
        </a:schemeClr>
      </a:glow>
    </a:effectLst>
  </c:spPr>
  <c:txPr>
    <a:bodyPr/>
    <a:lstStyle/>
    <a:p>
      <a:pPr>
        <a:defRPr>
          <a:effectLst>
            <a:outerShdw blurRad="50800" dist="50800" dir="1800000" algn="ctr" rotWithShape="0">
              <a:srgbClr val="000000">
                <a:alpha val="43137"/>
              </a:srgbClr>
            </a:outerShdw>
          </a:effectLst>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r>
              <a:rPr lang="en-IN" sz="2400" b="1"/>
              <a:t>How long</a:t>
            </a:r>
            <a:r>
              <a:rPr lang="en-IN" sz="2400" b="1" baseline="0"/>
              <a:t> we take to ship ?</a:t>
            </a:r>
            <a:endParaRPr lang="en-IN" sz="2400" b="1"/>
          </a:p>
        </c:rich>
      </c:tx>
      <c:overlay val="0"/>
      <c:spPr>
        <a:noFill/>
        <a:ln>
          <a:noFill/>
        </a:ln>
        <a:effectLst/>
      </c:spPr>
      <c:txPr>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w="152400" cap="sq">
            <a:solidFill>
              <a:srgbClr val="FF0000"/>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w="152400" cap="sq">
            <a:solidFill>
              <a:srgbClr val="FF0000"/>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w="152400" cap="sq">
            <a:solidFill>
              <a:srgbClr val="FF0000"/>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82830271216099"/>
          <c:y val="0.20099518810148731"/>
          <c:w val="0.85305118110236222"/>
          <c:h val="0.68945282881306502"/>
        </c:manualLayout>
      </c:layout>
      <c:barChart>
        <c:barDir val="col"/>
        <c:grouping val="clustered"/>
        <c:varyColors val="0"/>
        <c:ser>
          <c:idx val="0"/>
          <c:order val="0"/>
          <c:tx>
            <c:v>Total</c:v>
          </c:tx>
          <c:spPr>
            <a:solidFill>
              <a:srgbClr val="FF0000"/>
            </a:solidFill>
            <a:ln w="152400" cap="sq">
              <a:solidFill>
                <a:srgbClr val="FF0000"/>
              </a:solidFill>
              <a:miter lim="800000"/>
            </a:ln>
            <a:effectLst/>
          </c:spPr>
          <c:invertIfNegative val="0"/>
          <c:cat>
            <c:strLit>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Lit>
          </c:cat>
          <c:val>
            <c:numLit>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Lit>
          </c:val>
          <c:extLst>
            <c:ext xmlns:c16="http://schemas.microsoft.com/office/drawing/2014/chart" uri="{C3380CC4-5D6E-409C-BE32-E72D297353CC}">
              <c16:uniqueId val="{00000000-C3A4-4DAA-8C57-C0EE1BE34D76}"/>
            </c:ext>
          </c:extLst>
        </c:ser>
        <c:dLbls>
          <c:showLegendKey val="0"/>
          <c:showVal val="0"/>
          <c:showCatName val="0"/>
          <c:showSerName val="0"/>
          <c:showPercent val="0"/>
          <c:showBubbleSize val="0"/>
        </c:dLbls>
        <c:gapWidth val="219"/>
        <c:axId val="770653664"/>
        <c:axId val="770650304"/>
      </c:barChart>
      <c:catAx>
        <c:axId val="770653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770650304"/>
        <c:crosses val="autoZero"/>
        <c:auto val="1"/>
        <c:lblAlgn val="ctr"/>
        <c:lblOffset val="100"/>
        <c:noMultiLvlLbl val="0"/>
      </c:catAx>
      <c:valAx>
        <c:axId val="770650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770653664"/>
        <c:crosses val="autoZero"/>
        <c:crossBetween val="between"/>
      </c:valAx>
      <c:spPr>
        <a:solidFill>
          <a:sysClr val="window" lastClr="FFFFFF"/>
        </a:solidFill>
        <a:ln cap="sq">
          <a:solidFill>
            <a:schemeClr val="bg1">
              <a:lumMod val="95000"/>
            </a:schemeClr>
          </a:solidFill>
          <a:beve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1747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2400"/>
            </a:pPr>
            <a:r>
              <a:rPr lang="en-IN" sz="2400"/>
              <a:t>How</a:t>
            </a:r>
            <a:r>
              <a:rPr lang="en-IN" sz="2400" baseline="0"/>
              <a:t> Happy are our Customers ?</a:t>
            </a:r>
            <a:endParaRPr lang="en-IN" sz="2400"/>
          </a:p>
        </c:rich>
      </c:tx>
      <c:overlay val="0"/>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5"/>
        <c:spPr>
          <a:solidFill>
            <a:srgbClr val="C00000"/>
          </a:solidFill>
          <a:ln>
            <a:solidFill>
              <a:srgbClr val="C00000"/>
            </a:solidFill>
          </a:ln>
          <a:effectLst/>
        </c:spPr>
        <c:marker>
          <c:symbol val="none"/>
        </c:marker>
        <c:dLbl>
          <c:idx val="0"/>
          <c:delete val="1"/>
          <c:extLst>
            <c:ext xmlns:c15="http://schemas.microsoft.com/office/drawing/2012/chart" uri="{CE6537A1-D6FC-4f65-9D91-7224C49458BB}"/>
          </c:extLst>
        </c:dLbl>
      </c:pivotFmt>
      <c:pivotFmt>
        <c:idx val="26"/>
        <c:spPr>
          <a:solidFill>
            <a:srgbClr val="00B050"/>
          </a:solidFill>
          <a:ln>
            <a:solidFill>
              <a:srgbClr val="00B050"/>
            </a:solidFill>
          </a:ln>
          <a:effectLst/>
        </c:spPr>
        <c:marker>
          <c:symbol val="none"/>
        </c:marker>
        <c:dLbl>
          <c:idx val="0"/>
          <c:delete val="1"/>
          <c:extLst>
            <c:ext xmlns:c15="http://schemas.microsoft.com/office/drawing/2012/chart" uri="{CE6537A1-D6FC-4f65-9D91-7224C49458BB}"/>
          </c:extLst>
        </c:dLbl>
      </c:pivotFmt>
      <c:pivotFmt>
        <c:idx val="27"/>
        <c:spPr>
          <a:solidFill>
            <a:srgbClr val="00B0F0"/>
          </a:solidFill>
          <a:ln>
            <a:solidFill>
              <a:srgbClr val="00B0F0"/>
            </a:solidFill>
          </a:ln>
          <a:effectLst/>
        </c:spPr>
        <c:marker>
          <c:symbol val="none"/>
        </c:marker>
        <c:dLbl>
          <c:idx val="0"/>
          <c:delete val="1"/>
          <c:extLst>
            <c:ext xmlns:c15="http://schemas.microsoft.com/office/drawing/2012/chart" uri="{CE6537A1-D6FC-4f65-9D91-7224C49458BB}"/>
          </c:extLst>
        </c:dLbl>
      </c:pivotFmt>
      <c:pivotFmt>
        <c:idx val="28"/>
        <c:spPr>
          <a:solidFill>
            <a:srgbClr val="FFC000"/>
          </a:solidFill>
          <a:ln>
            <a:solidFill>
              <a:srgbClr val="FFC000"/>
            </a:solidFill>
          </a:ln>
          <a:effectLst/>
        </c:spPr>
        <c:marker>
          <c:symbol val="none"/>
        </c:marker>
        <c:dLbl>
          <c:idx val="0"/>
          <c:delete val="1"/>
          <c:extLst>
            <c:ext xmlns:c15="http://schemas.microsoft.com/office/drawing/2012/chart" uri="{CE6537A1-D6FC-4f65-9D91-7224C49458BB}"/>
          </c:extLst>
        </c:dLbl>
      </c:pivotFmt>
      <c:pivotFmt>
        <c:idx val="29"/>
        <c:spPr>
          <a:solidFill>
            <a:srgbClr val="FF0000"/>
          </a:solidFill>
          <a:ln>
            <a:solidFill>
              <a:srgbClr val="FF0000"/>
            </a:solid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v>1</c:v>
          </c:tx>
          <c:spPr>
            <a:solidFill>
              <a:srgbClr val="C00000"/>
            </a:solidFill>
            <a:ln>
              <a:solidFill>
                <a:srgbClr val="C00000"/>
              </a:solidFill>
            </a:ln>
            <a:effectLst/>
          </c:spPr>
          <c:invertIfNegative val="0"/>
          <c:cat>
            <c:strLit>
              <c:ptCount val="3"/>
              <c:pt idx="0">
                <c:v>Jan</c:v>
              </c:pt>
              <c:pt idx="1">
                <c:v>Feb</c:v>
              </c:pt>
              <c:pt idx="2">
                <c:v>Mar</c:v>
              </c:pt>
            </c:strLit>
          </c:cat>
          <c:val>
            <c:numLit>
              <c:formatCode>General</c:formatCode>
              <c:ptCount val="3"/>
              <c:pt idx="0">
                <c:v>7</c:v>
              </c:pt>
              <c:pt idx="1">
                <c:v>8</c:v>
              </c:pt>
              <c:pt idx="2">
                <c:v>6</c:v>
              </c:pt>
            </c:numLit>
          </c:val>
          <c:extLst>
            <c:ext xmlns:c16="http://schemas.microsoft.com/office/drawing/2014/chart" uri="{C3380CC4-5D6E-409C-BE32-E72D297353CC}">
              <c16:uniqueId val="{00000006-7A36-4183-90E7-456A581E90F2}"/>
            </c:ext>
          </c:extLst>
        </c:ser>
        <c:ser>
          <c:idx val="1"/>
          <c:order val="1"/>
          <c:tx>
            <c:v>2</c:v>
          </c:tx>
          <c:spPr>
            <a:solidFill>
              <a:srgbClr val="00B050"/>
            </a:solidFill>
            <a:ln>
              <a:solidFill>
                <a:srgbClr val="00B050"/>
              </a:solidFill>
            </a:ln>
            <a:effectLst/>
          </c:spPr>
          <c:invertIfNegative val="0"/>
          <c:cat>
            <c:strLit>
              <c:ptCount val="3"/>
              <c:pt idx="0">
                <c:v>Jan</c:v>
              </c:pt>
              <c:pt idx="1">
                <c:v>Feb</c:v>
              </c:pt>
              <c:pt idx="2">
                <c:v>Mar</c:v>
              </c:pt>
            </c:strLit>
          </c:cat>
          <c:val>
            <c:numLit>
              <c:formatCode>General</c:formatCode>
              <c:ptCount val="3"/>
              <c:pt idx="0">
                <c:v>37</c:v>
              </c:pt>
              <c:pt idx="1">
                <c:v>51</c:v>
              </c:pt>
              <c:pt idx="2">
                <c:v>39</c:v>
              </c:pt>
            </c:numLit>
          </c:val>
          <c:extLst>
            <c:ext xmlns:c16="http://schemas.microsoft.com/office/drawing/2014/chart" uri="{C3380CC4-5D6E-409C-BE32-E72D297353CC}">
              <c16:uniqueId val="{00000008-7A36-4183-90E7-456A581E90F2}"/>
            </c:ext>
          </c:extLst>
        </c:ser>
        <c:ser>
          <c:idx val="2"/>
          <c:order val="2"/>
          <c:tx>
            <c:v>3</c:v>
          </c:tx>
          <c:spPr>
            <a:solidFill>
              <a:srgbClr val="00B0F0"/>
            </a:solidFill>
            <a:ln>
              <a:solidFill>
                <a:srgbClr val="00B0F0"/>
              </a:solidFill>
            </a:ln>
            <a:effectLst/>
          </c:spPr>
          <c:invertIfNegative val="0"/>
          <c:cat>
            <c:strLit>
              <c:ptCount val="3"/>
              <c:pt idx="0">
                <c:v>Jan</c:v>
              </c:pt>
              <c:pt idx="1">
                <c:v>Feb</c:v>
              </c:pt>
              <c:pt idx="2">
                <c:v>Mar</c:v>
              </c:pt>
            </c:strLit>
          </c:cat>
          <c:val>
            <c:numLit>
              <c:formatCode>General</c:formatCode>
              <c:ptCount val="3"/>
              <c:pt idx="0">
                <c:v>150</c:v>
              </c:pt>
              <c:pt idx="1">
                <c:v>182</c:v>
              </c:pt>
              <c:pt idx="2">
                <c:v>163</c:v>
              </c:pt>
            </c:numLit>
          </c:val>
          <c:extLst>
            <c:ext xmlns:c16="http://schemas.microsoft.com/office/drawing/2014/chart" uri="{C3380CC4-5D6E-409C-BE32-E72D297353CC}">
              <c16:uniqueId val="{0000000A-7A36-4183-90E7-456A581E90F2}"/>
            </c:ext>
          </c:extLst>
        </c:ser>
        <c:ser>
          <c:idx val="3"/>
          <c:order val="3"/>
          <c:tx>
            <c:v>4</c:v>
          </c:tx>
          <c:spPr>
            <a:solidFill>
              <a:srgbClr val="FFC000"/>
            </a:solidFill>
            <a:ln>
              <a:solidFill>
                <a:srgbClr val="FFC000"/>
              </a:solidFill>
            </a:ln>
            <a:effectLst/>
          </c:spPr>
          <c:invertIfNegative val="0"/>
          <c:cat>
            <c:strLit>
              <c:ptCount val="3"/>
              <c:pt idx="0">
                <c:v>Jan</c:v>
              </c:pt>
              <c:pt idx="1">
                <c:v>Feb</c:v>
              </c:pt>
              <c:pt idx="2">
                <c:v>Mar</c:v>
              </c:pt>
            </c:strLit>
          </c:cat>
          <c:val>
            <c:numLit>
              <c:formatCode>General</c:formatCode>
              <c:ptCount val="3"/>
              <c:pt idx="0">
                <c:v>312</c:v>
              </c:pt>
              <c:pt idx="1">
                <c:v>373</c:v>
              </c:pt>
              <c:pt idx="2">
                <c:v>351</c:v>
              </c:pt>
            </c:numLit>
          </c:val>
          <c:extLst>
            <c:ext xmlns:c16="http://schemas.microsoft.com/office/drawing/2014/chart" uri="{C3380CC4-5D6E-409C-BE32-E72D297353CC}">
              <c16:uniqueId val="{0000000C-7A36-4183-90E7-456A581E90F2}"/>
            </c:ext>
          </c:extLst>
        </c:ser>
        <c:ser>
          <c:idx val="4"/>
          <c:order val="4"/>
          <c:tx>
            <c:v>5</c:v>
          </c:tx>
          <c:spPr>
            <a:solidFill>
              <a:srgbClr val="FF0000"/>
            </a:solidFill>
            <a:ln>
              <a:solidFill>
                <a:srgbClr val="FF0000"/>
              </a:solidFill>
            </a:ln>
            <a:effectLst/>
          </c:spPr>
          <c:invertIfNegative val="0"/>
          <c:cat>
            <c:strLit>
              <c:ptCount val="3"/>
              <c:pt idx="0">
                <c:v>Jan</c:v>
              </c:pt>
              <c:pt idx="1">
                <c:v>Feb</c:v>
              </c:pt>
              <c:pt idx="2">
                <c:v>Mar</c:v>
              </c:pt>
            </c:strLit>
          </c:cat>
          <c:val>
            <c:numLit>
              <c:formatCode>General</c:formatCode>
              <c:ptCount val="3"/>
              <c:pt idx="0">
                <c:v>224</c:v>
              </c:pt>
              <c:pt idx="1">
                <c:v>247</c:v>
              </c:pt>
              <c:pt idx="2">
                <c:v>250</c:v>
              </c:pt>
            </c:numLit>
          </c:val>
          <c:extLst>
            <c:ext xmlns:c16="http://schemas.microsoft.com/office/drawing/2014/chart" uri="{C3380CC4-5D6E-409C-BE32-E72D297353CC}">
              <c16:uniqueId val="{0000000E-7A36-4183-90E7-456A581E90F2}"/>
            </c:ext>
          </c:extLst>
        </c:ser>
        <c:dLbls>
          <c:showLegendKey val="0"/>
          <c:showVal val="0"/>
          <c:showCatName val="0"/>
          <c:showSerName val="0"/>
          <c:showPercent val="0"/>
          <c:showBubbleSize val="0"/>
        </c:dLbls>
        <c:gapWidth val="219"/>
        <c:overlap val="-27"/>
        <c:axId val="887142320"/>
        <c:axId val="887142800"/>
      </c:barChart>
      <c:catAx>
        <c:axId val="887142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crossAx val="887142800"/>
        <c:crosses val="autoZero"/>
        <c:auto val="1"/>
        <c:lblAlgn val="ctr"/>
        <c:lblOffset val="100"/>
        <c:noMultiLvlLbl val="0"/>
      </c:catAx>
      <c:valAx>
        <c:axId val="887142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887142320"/>
        <c:crosses val="autoZero"/>
        <c:crossBetween val="between"/>
      </c:valAx>
    </c:plotArea>
    <c:legend>
      <c:legendPos val="r"/>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_xlchart.v5.7</cx:f>
        <cx:nf>_xlchart.v5.6</cx:nf>
      </cx:strDim>
      <cx:numDim type="colorVal">
        <cx:f>_xlchart.v5.9</cx:f>
        <cx:nf>_xlchart.v5.8</cx:nf>
      </cx:numDim>
    </cx:data>
  </cx:chartData>
  <cx:chart>
    <cx:title pos="t" align="ctr" overlay="0">
      <cx:tx>
        <cx:txData>
          <cx:v>Where do our Customer live?</cx:v>
        </cx:txData>
      </cx:tx>
      <cx:txPr>
        <a:bodyPr spcFirstLastPara="1" vertOverflow="ellipsis" horzOverflow="overflow" wrap="square" lIns="0" tIns="0" rIns="0" bIns="0" anchor="ctr" anchorCtr="1"/>
        <a:lstStyle/>
        <a:p>
          <a:pPr algn="ctr" rtl="0">
            <a:defRPr sz="2400" b="1"/>
          </a:pPr>
          <a:r>
            <a:rPr lang="en-US" sz="2400" b="1" i="0" u="none" strike="noStrike" baseline="0">
              <a:solidFill>
                <a:sysClr val="windowText" lastClr="000000">
                  <a:lumMod val="65000"/>
                  <a:lumOff val="35000"/>
                </a:sysClr>
              </a:solidFill>
              <a:latin typeface="Aptos Narrow" panose="02110004020202020204"/>
            </a:rPr>
            <a:t>Where do our Customer live?</a:t>
          </a:r>
        </a:p>
      </cx:txPr>
    </cx:title>
    <cx:plotArea>
      <cx:plotAreaRegion>
        <cx:series layoutId="regionMap" uniqueId="{4AD5E75B-24EE-422F-AE67-11F1148821A6}">
          <cx:tx>
            <cx:txData>
              <cx:f>_xlchart.v5.8</cx:f>
              <cx:v/>
            </cx:txData>
          </cx:tx>
          <cx:spPr>
            <a:solidFill>
              <a:srgbClr val="C00000"/>
            </a:solidFill>
          </cx:spPr>
          <cx:dataId val="0"/>
          <cx:layoutPr>
            <cx:regionLabelLayout val="bestFitOnly"/>
            <cx:geography cultureLanguage="en-US" cultureRegion="IN" attribution="Powered by Bing">
              <cx:geoCache provider="{E9337A44-BEBE-4D9F-B70C-5C5E7DAFC167}">
                <cx:binary>7H3bctu40u6rpHK96SEAEiBWrVlVA1KS5YPsOKdJbliKrZAgCZ7A89P/TdvJWLSckXeN6q+lvTUz
NZVIDbX4AejurxuNf992/7pNNuvyTaeSVP/rtvv9bVhV+b9++03fhhu11idK3paZzr5XJ7eZ+i37
/l3ebn67K9etTIPfsIms327DdVlturf/+TeMFmyyi+x2XcksfVdvyv5mo+uk0r94b+dbb9Z3Sqae
1FUpbyv0+1t3ncjvWZnK9dvt9/Dvbz9t0qou12/crE6r/u0b+KOs+g99vvn97dY4+O2b36Zf90y1
NwloX9V3IEysE+yYDjEJ4/cv5+2bJEuDx7cNhPgJ5gSZ1IR3Hr52tVYg+QqV7hVa392VG63hp93/
//kAW78DHscff/8YbsfHMSIQABi/v/2Yympz9+Z9ta42+u0bqbP751X2bjb+1o/v7x/Ob9sY/uff
k7+AxzX5mycwT5/t3721jeTfoPx+nVaAcVkPBwCannBmIctEdDfQGJ+Y2HFMk9NtoF+n1W6sd4yx
B9w7pI4M8fNNmR4Aa/uEMGKZtkXN+xd6vqhN5HBEMNvGel99dqO8Jb0Hvluf/y9E9n6jeb5L3W86
f79J/y9tMm4GW+ZoSfS41/zj9sQ5GWcWJy/ZE9hmELEcm6GJPXmtXrun4M5R9piKO+X+C6fkr5yI
P5JcppuDYE45sSmyrd2mBXwIBi/bZtb2drO/RrvRnsjvgfNE4sgQfl9X1aY8AMIcFi3GGGG0G2GM
Tii2kWU9cx721mg3wpNftAfCE4kjQ/g6qSFkOQjCnFBmY/KIMDgGW3EANk+45XAbFvr2Gt5fo90I
T+T3QHgicWQI/5FAeHV3CNPMThzTcrBDycMifgYxPsEMW4xCEPk00nuFRrshng6wB8ZTkSMDGTzH
VOpkXR9iKbMTapkMDDJ58P4Bzu2ljE5ME1vgok1csNdptRvrHWPsAfcOqSND3M2SWh9iVQM/Y3JM
wPt6AW2I64HgodyabNz7a7Qb6Yn8HihPJI4M4atynQaHcK/JCePIchz6knsNG7tNgLcxIc5/unHv
r9FuhCfyeyA8kTgyhP9Q67vsEO61c0LA7AL9BvHR9lZtQuSEgYA1+Q8i5ynA+yu0G+CJ/B4ATySO
DOD3WbJOswN4187JGB05jD2a5CkhN5KvFnds05qSr3trtBvhyS/aA+GJxJEhLMZ49AAA8xMb4XvK
9cUA2QY6FkEEvb1H763Qbny3xfeAd1vgyNCFhMGbs2xd1PIQrDo74TazLWzhB0+LTDdrBKkyDBwI
f3DFJki/UrndeO8aZA/Ud4kdGfbAfK6bTXkQcsQ5QZwC+8XYCz62eUKd0Qufbt+vUmo34s+H2APv
50JHhvY4oS9qqd9cfZM6P4TJtiExjikC0usB82cmGzCH9Brs6Hx7R/+/UG038i8NtAf+L4ke2Szw
NsmbVQalGf+8RbfQCez14HyP2azx9Ywtg8oJ0yLAlk3oslcptRv550PsgflzoSNDe5a88bISQrB/
Hm3inDDMKdDfD2BzWNPPAjE+RuH2Q0p9YttfpdpuzJ8PsQfmz4WODPOLtdabAzhzlnliQb7S4Y++
nPnMmYPtHd62HDopkdhfo904T+T3AHkicWQIz6Eq7CAxNz1hBFHbhhK2h9dkSY9ZaceGf9CEGN1f
o90IT+T3QHgicWQIgzMylpok64MUMLITAuQZMGSPdnpawAipacdxkGVP+e9XqrUb612D7AH4LrEj
Q/06Wd8epBbBOXH4PSH+QIk+37khvcUsKFnFP9f9U850f712Iz6R3wPsicSR4bxINukBDDQBRg2b
NuIYGNFtVwwqyLiDIME5cbz31mQ3sNvie+C6LXBksL5f35ZQiJBWh/G2bQYlYxBaPyzRZ7EVOrH4
+A8wquNr4m2/TrfdaO8YYw/Id0gdGe6ntfqWJXfVPx9jgcvNHAo1Ys9XtHWCKAILjh9t+Dah8hqV
doP9bIQ9oH4mc2RAf6m/rf95kGHbRhBYwb79ElWKTmyHUceiEHE9tcv76rMb4S3pPdDd+vyRIbtU
+aaU6+QA6GIoRcCOPXpX969p1IzsExtCLhtBNnt8TTbu12i2G+dnI+yB9TOZY8M77Q9hpCmUC2Lw
wdhj2cmUEkNjVoRTCtHV9kpe7qnPCwg/ld4H3aefPzJkP2zCtTrALg2mGFYoNe0f9dxTbKEeAZJZ
CBLWD/zYZB3vr9dujCfye6A8kTgynM/hpOkhKkHpCZzwgpJey/4ZCm+FUkCBUXgPihImJOfeCu3G
d1t8D3i3BY4M3Yt1fIAEFXhakH5CzATq6/71rMwXn3BkIwre1vb+vK8+u7Hdkt4D2q3PHxmyQOO9
ERs4dXwg+2tD1RgmLyxeIDYtE5sQUU3wfZ1Wu1HeMcYeWO+QOjLEV+v8APYY0o+Ywz4NG/HDWp76
1aM9hmSUaTsTzmtffXajvCW9B75bnz8yZC8y/eYPKOBONoewxNYJOFuYOD8s8TRLAc70eCLDYrCh
j6+Jw/VK5XajvWuQPUDfJXZk2N9IqBzT8u4QZpqccMe0CXk8ij8iu+2DQQIL6srABZvUEb1Kqd2I
Px9iD7yfCx0Z2pfrO6gTPAA7Ai02KJhrzB6P4kyhhjOUJgXW20ITqPfXaDfOE/k9QJ5IHB3C5aEq
gJkFNcDmY5nQdBcHM20TBCUjfEKJXK73VOglfJ+K7wXvU4EjRDfPDnKYjp3A6oT16zyWBU1XMATM
nFrMwRB23b+2I6sR5n01exnprRH2BHtL5sjw/pIlh4ivnBPKgNsEp3pikSGwgjcYgpzUNrz7KrIb
2i3pPWDd+vyRQfoQKJbpuryTByn+gowiHHpFDnkkR6YBFWIQcVkmFJJsQ/x6xXaD/cI4e8D+guSR
TYDL7C67/eddMKjatrgJXSp+dDl7VjxinsAJHmhUgybpx70V2o33tvgeMG8LHBu6mxTgPczKHhPM
YHoZe6RKpiYaE6jLZ5SQsWL/aYL58jVKvYDysyH2QfqZ0H8B2r9WcetXj00N//jxqHe0pHxtR0rY
meGkJOXosb5vCvCYtEAMM6gz2OWDwdGnn200H+DfpdNufJ/Kbv3Gh5/464fyX9du8nJT3kK7TPcf
7wEHjIZJOXXoSyW5UHzvQIUIYjvLu/bXazeKE/kdQG79FbRXnUgcG87ZQVys8Uy7DRVdjyA/OyAF
6xRDQ1EoBJr4WJd76vMCuk+lt4Dc3TN269uOD1no97bpD7CGKURHEB8R87GOa+pAjx3fbApVXNNu
UfC899bpRYS3R9gP5W2ZI0N6tWnWB2kKBouUYgYNoB85yx04m3AIFjzmSZZxf412ozyR3wPjicSR
ITzGfZ7cBIegOqBsDwFtCaV7E6oDwmBEiQNx8mOS+Ycf99Dj+1U67Yb5+RB7IP1c6NjAlpvyICkI
ODVBTQKF1A+e1fPDMeYJvGmC1d7do2JvvV5Ae1t+H6i3JY4NZ1jUc+gLdiv1bfZjbe2IRyCr/7q2
/Qxq6U2TQe3lQwwELtZWVhEyEdCmBNkOmThf49L6qdE+fsMLQO8cZh+8dwoeH+xw4lGsy2+HOfNo
jeCOaaaXj7ZS7kABJ7T9u3/9mHo/t/XXqffiHNgxzH5zYIfg8c2BN5dwEcUh7Pl9morBoddHq/3s
/BSUC2E488qtSQZjXP17K/Ui6pMh9kN8InRsaIdrDXPa/ae5FKjUhq7p4KKRl87T4BPw30wHetVM
FvneGr2A87b8PiBvSxwbwlLHss/qA2AM+UYCphr/aMy8w5hTaOdrQ/HIBONX6PQCytMR9sF5KnNs
SAPDdIhTF1DlaRFOodDzJU7lPk6jFtQgTHDeW6MXUN6W3wfjbYkjQ/gDVMfA/VkHWMpwxhWOXECs
/eh47bDMY8UBOGYTy/wKlXZjPB1gD5CnIseGcg0tRw5R0gnHaog5nox6OUOF+dh0xJ7s1x/21ugF
jLfl94F4W+LoEIau6uogd9pAs08HKkSgm+dDRf40Cwm1nECzIOTgZxjvr9NLKE9G2Avnicz/BtIv
32j18wpCb12tZ/eXFz65Oe/X794/JLh0cSL6mNvfTaY8JH6Xd7+/hSoBAlTXU4JlHGirMuC+J+4P
i7sttAG3/ve3BhzMgKYykJQeb0qEi3AoONvt5vEt6N0MyWgGtUSMUDJyrCn0JAx/fzses4ST8GAK
oDk7ROsUHDud1eNbcHoLQzdZziGHRqCUgVs/L5e8zpI+yNKfD+Xxz2/SWl1nMq30KA3TMX/43Kiv
bdpQDwGEgAPaMZi0o3757fpmPFcIz+D/NHmn7TQIyZXuLNMdumbZ9lbhoYgQUdJinhFci7LqPzM8
EE8H1m1JnIuK97Fnm76aR51vLaoyPK/azBSpmV4akVkKZ8hrr9PNqiup9ixewo2LWf2t5+mXUAaz
XiU3sRUt0r46wwTfFHkeiajoa8FzrEWJ8EWqYlsEBvuoY565CVfV6dD6H4cs+mwHIRNZNnQu7dSV
HZAr1NIZL7IzlhTL2B7Icmj80q1j7LhN2C2CeJhhJ/9u5eFN3Qb2WRr4i7wvvzmyF1wPnzqtMhFj
hQXBcSyopVKP5L5rdlntsjz81KL6a9w1lhvG4Smus1TkmpVChaQUVVOlrszJKlbFWRJbRLRl+b1o
QiQ6I6vcIXGupCpztw2Kq8hu8rNOVfG8ln7gMZXFIg7LwOVm4K80zUwv5PVARWEN3x3cxKvGYreD
hIeb+yp8h/3eFKEuN2Fl8ssoS5Y2N7Dwcd4vwlQ7V1p2asZYC6jVoSXKoArcWHWtiII0FE2E6EI2
XSBo2dinVseCd2ZA0GLIo0AUgUyESkkgSNtmQioSzMw+iU4J6ZKZISVeRGEyuGSwBKGdDVMgy06V
7yMPdb25SCwt55aZ+3OrJcmsVBVeVBlRs5REFygtzocquopTtKz6YPCkcr77Q0RFxJQ1M7QkXl/3
0Qz5rF/EdZDMzCh04EGgfsbKgi+qiAYi6sp6wbFuhArK3DMlkjdpy5xFndvhDPoPRKem6fte0yRE
aEKMdwmkqYQa4JcWHaVCUpPOncCo3KhvHdFnQT4zVI1EHMfyzNa6XQQ4/NBjfV3XZjoLDacXWZVD
9xOthQypLfqCW2c510QEqJeiH8ZHJHH6tdV29DENJRI65OlpX6e+wF2QicRP0ZXthIEI88EXEp67
IKVRnzotkyJsrbb2WC3vYiWZMCPmz5pAGadmFc1rO5n5fspFq2guFE9LQSyihGNFtTCi1vHKXCUu
bSL6bkDdu6irb2ir4pnGEZJugpNVDKnXUzsuvlfp8K1CTTivclSLhCflpUQdcUlHvaQs6JL2rX9B
DdYsHD+1brBRf5I8qwzPrOrOX4S4Q0jIOr9tQSs2GLHwwygR2gmLhSH7D8ho0bwLA+qaDT9LFaaz
tu2R4E29hHtOepGzYXCrJJjJNDXODMs8lYR8bHRUuToIP6giOmNRet0y7RoGu9T2V5/h8zqjzZ99
nGxaWl10lmGItESR57R1e1Frlp5yXkVCljIWQWxeYPi2MA/Pm8b6XsQOdtGQXJqtiUTD2afBSS0h
o8ERlVZ3mulA+Eots6h/B7TZRW1L5WZhQ7xUOdkilqgRXRPaXtdnnWgkY6KEj6ca5y7TxJ73PUCI
CnVVG8H7pPO/mln9Jbdge3DMvPFYXJ7LFq27mNKZjkngNjoL5qhGCySJKGKrnDWRxoINSIlEN5fa
aT/XENV7zLCueccckSmWLh3bhk9WZiTqOGncvMrO68g8TZwmdRvLn0dmVlxJXvUiSiJTGB33qg6a
KPo0FnYjPT/E9Evs18qeZWl3meLqNrPYMq3tPxNf2UupkIjK4VuHmlLUWXcKPzqZh9ishUKDl1C2
CiPYZXhmCFy2bsyNTDQZOjUKetq3hRdhGQlDtu/AIl0kWBPXl8m3yuGnLCUrFOQLwyoWQRt6gKnb
JQj+bK9DR0pXy/q7luw6Kdpq1mT9slJWOKtZ4hpW/M5XvgG2oHYT0p+HVfJOccNDMvyQxMEspOkp
q5PUq5X8kMjKrTEtReprJlQ/nPoOupCJ65i6E5pjl2Bz49dpL8COGf1CO1g711LFiRvQ9MaUZTl7
ehvwltG9zcBoyCB8vNT55x//8yFT8O/99cB//eV4J/Rff1psspFk19MPjb7Rz0/9dcXw6Iv8vG94
4uE8XCz9gvvzyzdf5RtZ4LD8TD49843+upnpuYM0Sv50kEZ/GEpGLBtoLMrGE04/HSQoyoW3MDTP
JTayx4KRRwcJGBET7oWERn0m3HIC9STw1g8HCTLT46Uo/JEyAY/mx5PYwgocw10O0pj22naQIOkJ
l17dt4KEa9DG26yfOkiGY5C47JLsqu5pPFxGOLejFVyXHOFZVankmsmiqVyV2Cs7L67r0Lm1grCd
lVh9aFCSwdJRFwUuvyR9dpbo9EYq6VUGzgSJ/EtY0pd5l8VuysDqkCbwSh1fhGb7eYjSDZcwZ7MG
a1hrNHtnB8McKSsS4ZCI2g9jD1u1IEkVXVa1ITroneSVpEnRN2xEsGW1QTJvg8ZBS7j0q5RnOKZV
sIiRYQ0CdmcqhcoJmF/fMEkuaJMvmWRqUTB+RhNnsD4Qv4KdzVdtVHucB6F1UUZSf4laHxZbQxSe
N3UTwXZeR+dMpzQCN83WLRhr2/C4dsroNE5ZM8yKMjCLmQLuIxBJ232rqQpFm6SfWW7XbhW2C6fh
5SKXdJ37me+xtgA75iTtnNTZpfTNwsW6skQeylkx+OAAcTLL/OYjNv1PRjksK2bcNEy5adMurT71
GgPMRGtf8Yb2wsmpWyb4ptdynRvZeVIzAwx6fVmzNBXMyE+dkOWi5OimqY0ltDaZpX6xcoL8Owb3
ThntKZLVWUvVaeAXFwFPVwp3qzorv5m9vuFhcooj+jHmjRfa7NRHwRUNGy2KJH+f5INgqfSS3Fy0
tr4pK8cjXbuMqPVZMSpM7qy5o8+SqK1dRxE8i/j3FGUzK6Er0tazNnMWVj64KNOXvtTXPK6+lHoA
Z8HxcgPNUhauhkxdOT14svawSrV1qjv8eWizywZHAjzZFWDp5lE752G4ivxspQk/H8BwwZUnZ5Ed
LXJqfsV2NHdkdZmT6luQOdFshD5g/INVIhcsw8Kh3QVqdCVqbq5qHHp9Ea1Kit8VfetWg/HRDsky
iUaE68zLY7XUyBGOdAT3iw23tNukyWcWhR8zM7ypQmPu5/YFHHqc41qtzKhJBO3RRWt13xpQwuUp
8sBVvPCb4cxhyC3D6iJgaG7I7rztwmWmVSGcvtyUDN80vLsp+5gLP2jsd8wuF5K24Yr61mVvY3VV
Jma0hD2+CIXEGUG5aOB52V1xZVL7okUwpWpuLZNGG25B29zLNb/rg25ldsqzFLlgMnjXFRX1ulx6
TZIwjxTF1yrqYfoR6uW5v+iKpp8bxP86lMlly7tw7qj6Q9z6M2IQJmKr0jOcDeAqxGkuiLKYa4Rl
5+aNkc5wiC59y7qxSlmCyVMV+LmAeBPx6yg3FtpSXt5E2WkexoZraBbNiw5dVlG9iP3AtXkmzFbX
M5gdgBbGleC1vi78sHdTS59jMpRu2OvzRMkry48vSGEsEGlniharHGMp2kLd5pYCMAbDw61uvcjv
4WFV9J2dOMusiohXZhERaeyDzzd0lWtEtZtBL1UXhzYEbzK/UDKpRVwZrsLZnxW0WhU9Vo1rqGFV
I3LZxfKOkgJcBAef+nlqi06GkUij5oam+FPF6ZlhB6eOUSfzpE9z15TtJZzY6EVjwQ6gjCR3eZ7W
Hi78WrQyL+ZR3V9kBWoFJfIqjouPDa2pG4bdh4DaMN+RFCk4+o0TX/kJPJqwUDH43dFH3qjU5TLk
wrKN9mLISHIe2jR2/7/tv+dFxstcf2H7IVt8X5L23PTf3wL7yI0gemKOKcixXyuUpCAw4j9MP9SX
2dx2OHFsDveOPuFGCDkB1sKE9kTjUUo6EiA/Tf94ihaaIYBXAEctR4/hNaYfvIaJ6WcwGLRegPsu
gc2D/grj+0+4ERlFoQ6TilwCg6JCFwKoKgD3ktrxmZKqzSGuaAZWNgJCXtx5YdoP72swX0GYBhek
jtg6DlOXVIUL5u9rxBKErlukcwhimz4vhG5SfqWyajgLSJ3IZVH1+APwNIa9RNosDcG5UV0pn/hn
cU/NagbcRITeS8YT63wIhkTf8jSg7WVJ8tJ+B1HgoqFpsvGbQnpZKuvErS2njhZm5KA5LxzZ3FRF
Xy0tcM4NMQwh8CK+2ddfB4vVsWBFaJ7jmvvnZVFE3E3TNpyFHS/csiirWW328tyueuvC94HeERH3
OVxUmo6LqPDbYQH56MGN07C+DrG97vv0K4uDWzB1QEhYXLk5tTd5pTaUZ6gSjSqsu7aS4JqnLi6C
dpkOpj2vYqP+2tKAigabEBm0cY1ch7eRqGTlfEaGzD0Ou+ptJ2lzqkmKl6HhhxcG0DenMSrZihV1
txzyvFhYdpO5ZTNUQsVp59pOHgqgDwYIR/1LADf3aOW4utW+51Tq3KmBabL9koHRsIdlbCWjueCJ
sHi4AD9PAZuCYf/oncjNdA2+Qxp7ucM3jhUa4MIMp0A1XJFI0kXvt5UwNOw2gV9aQlvdn1Zo+V7c
Do1g1F5kiHdAL3bg/ZTtKiawoZqwb7k8sTuvhDzRLDJyfGUGcfzeaG1yk1KabiLTKs9UIdPPUWOV
rpTFXdo30fn/i7vW073HhsD9VxvW0/M7f1HAD1I/AhUER0PHPiwmXNxiQ/v/p4EK1FWNddBwfa4D
54/G4pkfTC5wvGg862COh47gThgIH34EKuNuBQMC9+pAlYYD1OwrAhX0jMjl4JhC0y4KpfcE7hqD
DfrpZlUNJMuLuu5WaUv4rGn9MBcZiVjsxqxt3lHD7s+irknjmWmCD1llVvMxtnQH2xBPi89Pnt6O
sGlsA7cdNcFpd7jXCjZpa7w6ekxaPtXGSvs85mHdrHCRohXwr0CE1Syjods1VcZF01r1F9bkhgQy
xYEdsojKGHiYQTMLVjtL73hVmVcwRgj2PknQx8E2HLToqe1vUG+gbv5rjfF0s7dBYwhD4WIPoNeh
o7A50ViyELDtqxXp7CDwaDckHxu4epHMK9ZnNjiMHTBOkvmOGBgdWb/YJAvVlD3yyiar7sJOa3C+
jNz2dCWzRlQqNGGxlzaQFEEWhddxzc+U5qH2IM/PP+mwOI+T1u5mUhv0UpZhoxa//lXPYQAvy4TW
q3DbENRr3//oJxaM9UbQGnmiV2nl809ZADZYWDGGqQF+VHfddiV/n/so+fPXXzvOtadJBTigBVkF
RuBiM+h4gcmo1pOvtc0usHIdpKvUGdAKxWENcQlsV44ffvr1N43R9/SbODQzY0AUwMEwZzLP8tTq
h6IMs5WTm9a6aLMyWfiV02MR5+HMLOqRrTZ7J3MjYrfq7ybNOCm2vx4mCvQ6teACN2hEPf16OAYj
wyBVEmxObK9VVNvrOBl1sAelZ7TMMtGbAP2iBWILA9eXsU2VcL1sOZjRjpLSdEkbAQEQsVR9JGWO
iRdCLLfJjQbIbWNQbPTurfLUJnSoxa+f3nhhyVR/Nm4bUO4J97eDEd4GyqS1ndq2b1yi2ldrWVbA
hSIjroAgJWC/g7M2lPG3wOH5RTcU4ZxmViddjBr2vQIiN3P7MGCulUXNRpaE3TV2HrKzXytp2c9A
vvfDgNIZL1KC1QmJ06fTiZaONCH8I5eRVeQ+d7yKh8OiqzrC51VT127ZFea7RvV2LcIwZG6J0oXG
ZQ4JCXDSIOxTN3liq06wpA0+t5HKlr2uKpHbRf6R6tjx/CL13TqLIgkxD4la4Uc6XbW5oa8KYyCz
IEAcApfBT5WLm1Cd2rRKbnAUXAd9SjqIeVmxqvziQ4WVQTzaYHiQssewN1j1AHxL60QXSWg7X3yz
ts5CCqzkEHQNd1sztIBvTnq5NJyyV6LtncFDLVAoQ9Td5rqo3temwYAwURWb+7qol5aP8YciRG28
8JkBQQ54cv436PcIvqhMC+NrrRgEjLnGS6D+8yUqeHInmxzyBzlR8XvJ/Y6JprCCs9Iva7eH57BA
FuZXRau6mdWWxRwh4IFnic0QENZt4BRug0N/pjQpvTrnV6FvBKaHUFadgqnBrZuawCU5FUv+7JQZ
nuOS5+9tUtmLmkcGnmuqhrVDs3KmzS4a5k3sBHOj68w11kn7XQd5brsDroBtTgPcBPOuijJYHG07
64OmduZl5oceeOPqNIWPCtjOywwetGqYiHQUGS7zWyZYZneDsKrEB8fbSNWipPEssOrefNcSZHlS
l2YiIphJ1ZxULdeLjrDuAqi9IfHf1W1RKSV6CfFneRcCY46HL7o1OgaEFS9hK89uca+iCnihuqrr
3FxVcaXi7ozLYlg0vK78pSqlzEWEk+y9yQyyjHpCarcGDHzIHJng9w2hchwv9X2wh1USt8WMxm1g
AktVIf8qLEzKstO4Z8CU913CqwuqKwIzqvUzBGRgDbZwTo0w8q8aWDo0cAsnd2DCkVireZrIkouk
AOPlz7pGUtfwoR4csla+mVrguEKyw4UcY+vP24QlaqZ98ArmkAVWg+sMNuyYKY6t2lVhaSSi0X2g
r7U0lJplgXS+G3XDpOmZGa4WEsILZ2UbfuCfpYRVzI7ctNPF0J9qKEosw1kOuVo183UzFHNe6lTO
+4Sq/tTUWuWujftEuqyz+2RRykIaLsCKPxu5GpAHrdFi5cF/pnEFCQ1DwyNPwfNViqslKXmVzOKw
ojdDXREyj4wMo/OwDSEdJFiIw2rhl02evgdjTM6iYMCQcs1Bg1kG6adh5qBu4K4T9Xl7qZweprYB
S6X0fITqs5LYduIFPgkgLZc2AKdkGvyTdIjIsEliqNbzHFBAeaRXYbFEprROA8li6kKMVhBPZtL3
htqHHLbRljmwOH4bWS6RRTQA7RoNxrnpJ9Yc5X5gg7qc5TPUh0O2hORhG8xiboWtGD8nEJc8hekT
kMLtWmkMouqk8bWE9ta9ISSsI7xCQyqBWXIayyAf+qTF9YrmvM+8lBfVpV2nYJICzWIQ4IrA0/Jl
iNIvA0rS8KyAbHw31609yHMEEe4HK4Lwze4g6yIcBJN3XqcdIzNNBwnK1yhSXkKKWLsOkFuQfy2+
JG0LnkUURM17bdP2W16G5LRhbeDPnBiCeZE6PoxjJ1nUzdOyQauhy4n1Tlc2+oAqAz7RUkM7boV6
1s0arCJ5WnYYQ1DIAo2vpMH4p9QsxskZRYVesESH+rrrLQjgzKIFbMI2BcUyDZvuOVgw/ok4Jsxu
Bbtk6cGp8i5bVpr7+Doq6zi+wU4KjF9nAfF6WXXV6HyGfXdtxwbtZlmr4KuhxACitQ6raliYMRt/
/Kh6C/sT6JUrtLLsFH5FXdjwqMI4iweXxw0snTwJYvkuLRks+bIGryCA92BPxVUaXhXI6stUkDw0
Ae627OpLZYQ55JbNuujmHZysJbO+KfC4acBicuEXwQbScTT6yVWqPvlwHeGZ00ggV50QaAm36wO6
blMCanRl1N+QqjP1eQBubnSe5WkcvXfAWix0aqJVwYPiCzSIpYUIrVDis8wJeH3uh1nQeH3JihYc
3J4scgyP1TVZ0d/GSWxfd7U2s9PC7Jv4M3DhgYbEv6G+9wMf9xBZJKEHcYBDZhL3oZ7nVPHP/8Pe
me1IjmNJ+1XmBdTQLupytPga7rEvmTdCRmYkKYkiRVELqaf/TVmT3VnVC/4CZi4a6LqqQiE8wt1F
0s6xzw6dDRFBp4SqLAmxzdlhYQ+1HPU57doG/IA/+BTbHi7UzGbmpy9D48y05L7AMlmdKkiPoZCe
+uiwIdsTLvfB2li2HbtsIgefqJnXucQhs6izN8D4y6uUjzNO2mB2Ib1V83lI5/TJsZDppzUdB+/b
qIXVsGW8ZD7Wi4+XMp3H1jxcaEyPPb6WJXfaNN6tcp7Hi7EJf2xmjWZzog9hZ4BNrEuML6d1Pb3u
e95KeRGxCW+c0Q1lyZTo5jO1S89yEumOPUGJ6G9uKrCNYOsEudAy9ByydJmJwilg1SOnyqvfPLkG
ZM5WKDD73I+Bk+LFdDWULHFaenKqfnln1HXmnCc6bo916nr3RjvVuh8mpeuyXic8pLWPbu2dafka
XYEMcJ6pfnbjS+ix0OQW6kaXC+vxrS1E1DQb1qTD3qE1L8ECmAH9bZ8M+5UoPP1taGhSWFAnOq96
HavXJbLeU8MGPGs46dIXPOudvhPo12OD9fsUPkLH4iUz0yefTAvZwIo5eY58oZZiiegYXsIKpvWD
qnQ64HDHE132dYBvE4WDNTd1MLbyJhl6Ftz5xuXxsTIyxfsyxqGXdnD6peh0hT0DamwaLxzuNcrI
tKU7zUjLisW47tGqEOveAq+qs7BiyeWHKv0fEu3uN5H/G0r1q/v6qxn7/+PqXuqvg9Ty+/hHW/d3
L/Tv5/1G/7L/u00g+7X98htLt/3Mz2YKsLgINe420RL35IYb7/qz9fsjgbh1hGHioq7bbsn9m+sL
7C0kSYRtxHOxKfytmUL+EuAioJgEJEUJj/ESf6aZ4pMNe/u1sMMLoJsDhZEGiU9QQP++5BiHpRHc
b8xtPwI96MlYJNWwiXuWN74di9UT8qmGwXvrQzA+6qkaDo7rTYdprbzcm0xGU1mNgJeCK9rLbgmt
gLWXNB/BGs/5iPHcZ6bmd8iw/klaqctWcXOXUtrnXSeSPJ0q+RQCBhncKclwnBVzzeRtR5XKFpxA
Dx5NxH7CxbQlncFfac97hmjiB86Dad+k2L+j6YhW5RNV07DDOedDLPf1LQcflodx+tlx4+WQLuRF
rH79rEIYhsy3Yjeu6YQNEP1SDx/Bbe2RCmfSmB6UlNEtXfwYnY20Oyx9khacBumhF+iwUpq8Sd0v
WdgDCNoIkEkB40qdTwtu2sxGgHSphDyMWH9CCVS2CXVLn84nLOjzLMkLPs2LlFWfuaMcMxlPHcwm
9jmawy8mhmiWi3ylqn0dIsHLnlHUaLR+HEPN4YE7cRYIL8ljSg/tOquDE3cfAWU8MyI+xQMsrnEV
wAujptmNsJl2rFrAK0brJ3zRDWRn/yid6hpy+07W+hBUvMc7Cb5VVt85Wsw3LSEDQMjVLdVCrgFO
vWyt1msk8ZWOvSlgg961XfAOyxjma/sVu/WQScZOLTe3MdpxWdKj6+1RV0MS+sdtGmzOJ6OLhaZA
w8iY+114iHV8I01HSpkEVRZ57FNP13uQm+dGoQZ0DBQh5HoKAECCfyTAm24D6zbBO070yB6TUbdl
wujZqcK1QyU80IJHg85YEn04ut3VEwlR49tdvFYqq9ImurgzP81NPWRJJJrM77ybAEI+4/PcZJXr
sYJGpN7bqC2JgqerndV/GKJohq82iDyk7Vfl92FmWW3LurNTKZt0hy5jk6Gswodc6+roWAgZGrVe
vmCB5y6e1ID2D1wIgycbQoykOoNr7D4JVukMXujBA6WUDRGKcRCyXeFXS76GLoSTrT6s9Q+1QyLQ
ntHTMFaffSHGPGmDHOnHa6gjflzCKM66ZYIOwBGC2jq8TUYrM0OGMe+9Ot6ZIXyccXrn1RjdwGyE
vShsmrtOdBr4VJ88K88q5N5RyRrf0piCP3rTqNCche6WNTHAHOv9qICd5Wk37LVt+4xaVhDF3xmP
dkT2WOpYJn2fGHyw3eee6ZNJlv7YOgkpeO15t2zpg6KaHPbQ1IqeREjabCLVdVbAq5o0Ln2Lw48L
GOQBXMus6s29RRmIWrJvId7BsU2+Xx1cNYYl0TLcW1ql6B0pfeyVOFPmJjhlp+CkY7qeVOM5+1Aq
t5SqR1s4HXZra0+OS996p8OJ29Qmx+7XHp06TMG79icnWHJqoOXjpv+kkoZ+16IrUoZlfJ80zcfa
rCMkfhqMw28Nqv/tU/bf7/zcLIJ/6Z9umdDt4tu/P0a3H/3lGEWe20NqCD74b5z4L8coWpMh7MsI
7qW/cVU/j9EfKeAYk1tgPnjAy385RnF3UxoEuNHcd5E02nzXP+FJhN4f+6MRvI0kdUmIehm/bfsj
fu3coXfkcT5E8haCkmf+aGCZLtaWxohuA2O941K1O1B9R9EJv89SwT51aXLq5nqH+noPnXFNJnWE
2L9FOVC6YWdz3iTyhteJvMWe9WLd8A39SbcgGkgHcYAP2vYpHqrbxh1XbCm0zYRskntDg3UTu03v
lpzErixItLiQvO51ZfVcpGs479Hy4XkbEQGUfWR57aXl2gw9tm1beISWayXrLHUjeZjA2BbYZK/G
9gAd7NrkcaqjgqEvCfjYfZ49iIbGlos/anQswzaPQRdm0RB9jfE+8x5IeKZSFEjTDE7MRW0PQdt8
RblPSlsBMZ861mbcsuMqwurI+wZULdpzUjju3t2IhWhjF1DKg3vZeIYQYANcyjZzNtZhoM2tBPwQ
NTArljXcjfGEYJeKcw5QIk7obb+RE0Gw3KCpq3bBRlUAy5gKsZEWy8ZcpAM+01ZNF/D5fd5ayXfr
7OzhNp8iIBsd0I20qfB3L02UrYt3SDa+wwL0mAF8ULFe140AmTYWZGqGNw44pJokKBHgImDlmqzf
CBLaQnFsTInc6BK9cSb9RpxwPz42QFDajUUJNirFX2mpNk5lcSROHRzrvquvPlCWEEiLdLubDoiL
x6dzsDEvHeAXhcYwfilwmDoeM7IRMu6MQyoENKMFzTUgGqWCSxKxdjcCbs3VRtq0nihaoDeoSO/a
jcVZYf/j2wOfM5H4AcORLmnPZTnY2eThRvP4P7iejfDhG+vTtG4C2q0qNdVPZuOB5kZcaFh9thsp
xB2ClgzYoWh0X0LARE2gksLjDcAqcEYEwBFdvBsPABIaxVcFIGnYyKRuY5QqHR+pAma+Al8aJ31b
S62ceykTvn6gZdgekg47dNu/AA9C53adz7pew4uYsJ03Y/pJtu7DGA3fSG9h7iPNsNIdFQCZ9HJK
R2c3uP5ZcnatpTyZBv6R5HeQHW2hNJv2vJqWY1xF39fYmcD+LEG4r6cqAQkh5vXRj9cLVYPee7xe
drSOTLYEMX5viGp52C/JqkubsMOyBndD9Ek7HkVbKX0WqZfxhp4HfwCbOEbHhYGw79e7aQUwNNc4
8qLpHptdNixjAZe2B21M8fSp6i7Q4w2JAqQ4yHiWU/0AjyqvLH1cezMg7DAFGTPAk/0BYY0QOPU+
pV6wG9B/3AVtvOe0pgfFHWxLPoP6shyduwlPjug9MEqev0UIujtinLckFN/l4H7riN/C++AvK3CP
yGuDzKg+LKKAzZk7VOhFN/07mZzqJm3ZpTYE24Tr3nWyw2JIlHeLjATKATQg3HX5mCCrsi42D8Fi
+2Mg5s+e7HYqdN9snVwIR/sUvYSiM1gvJNTh3kz0VZh0AlMgdj2x+7mShdsPd2nNz27c7Fbdz3mk
qmuTjHVRx+1BQt6cgJc8k6kq8JvnPEjDJ1Ra/p5FUher8vqyN40pleNfDJbBXSLTh8jqg+FhnQs+
d1BTfub3DWIAyAZlUTIWeK+Q160OQVSpLwyyJB/taLKYo6NA5Heafq375AE97IcWnwnOAS/3qeDZ
yMkdMiI7l8EHruYWhGcFbH5eF3Afc7NnSiUg9Xma2dH5VuPlCGlVEUX0xCMKGh00RjzV8zl0PFHi
C7WHyDcPRvDC63roVll7xUQQDzCKYNkO9GigmiunaElwZiCP8oknn1291kdsxxk1ITJHodk5TD36
dbWPVzvklMVTaWoP2AjVX+Ge1iDwgv0QJSs8FHWhOhrw1PSPU2RuQlc3uROoPXquWdT210X2/Nh7
yy0dzYNrZYmult1FcXKWKj04CEw8sdVOu2XyP9oUhaNOkvuOJU258jX4D4/2W2/Bg53/z/XUj1vi
/l5JbT/0U0lh6GSIKxow+MSDVf6DKvurkgKh7m0zFNCQAGmOLsZPIRWDT8c/yQZ4xCi18Xo/4Y4I
c5bAYiQ+7rSFxZr4f0ZIbcPFf9+OgCjD6yE3DJ85wPVtv9dRXhWMqC2S6MpWJxiefTDHOO+F7byC
MQcNAoIASY3gSBu89TI2au8u/N51AsTKArgUQ20AWo2JW8WZJbFWx04Oa2GTOYiyKdINuvu6OmFD
WlgG0bW297JrX/ule4g99tlAw+RJEFxtLFQRiqgusW2BD1bsXSYsxiEs/K3HzrDDObkZkdASTQsO
tLXFEuhH5lVvfSoQyZFus9qCs46aF1jlOu/qCcZZNLS9LBheNc7lZEdxCR2LVAlrDnVYVzu/4kvp
jgLbhJj7d79ZP1MEnvIx7qrc68VOm3rJZdccVOMcwEWNaISLdxes555jxRVr2D3X1PnqX3phLzJs
C3SR8fHwtc0rXj15itx30i1TO++b9d4b4+dl1q8xNF8oED77v2kf/rsVNtuA7X+1EP+bI+Ly7e+K
mt9+7OdSRG8w3GYAE3h9qBwSLLi/LkUMrUnATLmoUdzA+3UtInft4t53QAwh0hc/lunPtYh6BzcP
4zpD3MCBu+HRUfwTRQ18gD8uxi19G2NMUgIvErcooh77taghhqp0ImxC+TH2J8LT8DIIcyaCqzya
hpcY0ks1Y3sQP+QY+yHNJghpq1bQjp7h9ynrBU5Mez/S8ASSXe4U1yDDVwtgCAmNfc3nEP0ntqPt
zI5wpd2c9hVAwgUpuTydldh1Sc+nR0v7TylDW8OJExiJsAabHBHa8DQbZz1FvTCsyi2x9WnibWH9
yjmMzoAjWaxgldxqbz3Icea1KfJ5dH7pMZ/g7EMsXEggAAXUj/0UsL4knXV3vUdAvw8OkmlzKgoZ
rNDovIYe2JIdg5ee2wSgqKJeHo3+uItMfyUR5NAcyHQ389VkTjXCa2RiOQyLvnpap/ko1KdhoTfW
W0rm2sLX/sUN6XlZR5aNDUjTGh5J1hCSLxMgd4FvGFglKj38Mvq9WmT8GeXXXO1UBMAfsAR8bKa9
QzpMD6wNHknjiunYx8wZ72vEUA/AHXKhWHxQkDbiMR7ddMjYDwEbJMgzBx7URxZB4CIutxy36T44
z6F+107cWcjhOOxPAvJYQSYTyGUJ2ex0cSEhozXkNDa5PKr7b4vwH2rI7f8T7+HfbfOAIYCl9s9P
8ZL/VyGHL9/+gbWw/eDP7QMnOZY6gmHIjmzkOJbnX7cPD3cAwFpIAziRINQAGv08ynEpagyIDI0P
WJ+AJvC/fm4fBFYFrlgEUA5PAFjjn6LKcWfEH7cPTE2F9RH9uIQVm9VGO339W+Je0cpEjjfrW5iF
L4uw3m4OVOGAakfBoIc7QEb0ILpYvkVhjxxMxFU2Jg7O+A6Jd+3M4rRSJOXBVA65W4WvrW6TYmiI
RVfT93ZriHB5t+EAEeCefAwnWaoqnXOl9XLTNGDUR4F2uSHsFPfJc6rFkTIm0BBGjyaJ5AkjQOkB
ONdxrM1rtcRbbLx/HCSzWezU6cFz6VcRzk8mcM9ITl8R6AHLTCsPZU/j7WyEfE2/ODcc3VGrvDWX
a3puLP9Ujf5pjHsNTGN6dGfk06gCAjMtsZshTv4eDy22p9EgjAUkZJdK8xHL+APsbFMgUD0VWs2X
1ARvwpfi1E9om0A2fQGQdc9gDxzxZ4KI725bCHISzFvAJpbyxTSWlhh6iexbJfdRH38BTrKjEjnS
ioGDj4Ckc680LUXMivf70GHfkmF5WOKWHtwULns3R2AylnUtmtqJy8kxtwlbgqym/ktdkcscVAAr
fU8iEE5kJvoFqXbR7jnyaEE8fgaEABc2GPV+Ivp2XcPlTFz7QhD7IndGY/PrR7Mi/UvCIb1hTv99
nViUVWC7S/QnQO2YzcZcudl3dd1lqm5SNHctuw9a/xlJ2DrrgRYdfMKylbbBpxW9h75DgGB6mmJO
r+Mo+tPqdgMsZac99JEsl8Z98GDpwDhBH0bUMMVbt36pF5TVFZtIFjhjUwQUrgPAMVNEEsSc48g7
2lRVFmu692P3CfhZky3N8G2azAFe7SmcBD5i2xVVY177qP6WBN1N5TTownmbdzWMKCGd6UvYaZs3
YfDJ8flnp4cOhaO1t2koEfNrDr5LH1WCmtRM687xA5GplewsgHvTJIXg7U1cJcAWUTgCl3zsVvHd
5ZKUIMXiDEYI8tEtyJrZab56sfMW+chpM/PAkSKzs/MUOezzyPkHG2ClqMk5KzNc3aB6NqI526XD
t1X5L7QLRM6G6gm43BlhLzgUPg13QZ8gkUnSq/DDT1WyPMcuikNO4SMZ9NMz4FHvOkwflqG50n6A
eMXpSJL5dvHCh8DivXRVfT9o7wgZlKPEOFH4Zmgonnsneqd2fCEhzamIMPshumX1egiGDp2yWmWt
tm/RRMi+oWhVtDUCzdjm4DooB+bWFlCvgHzlcz28Dbo7Bel8aQMkJNz1ZRIYpjBDC+cqWI5o4W0g
5zZWwuEPmL3wDjIQQe2WD2gqkf3GEJRIU5OyGuFOAv3rdjDhD2uInlvTdw3AnD432tsRH8Mlth0X
uxSCi20438nJnTMfogWtTXtPXYsGqqsOLj4C7En3gY0vzZR+jVBbZH0SP/txeAlC1eTBZJHRtyjd
5bbFDWwtZuo++qnY8QRZMb/XXaYx6AMXWPNDNwe5x8cpo90Y5zGet2mlj54bvicd8uDUJxeop2pP
qePsGs0fPORgMeQCJpT1k3cfvFYJj5NkYdyXNtj6LzX6PNhJdy3y6DD7qsdGobFbD96TqGd0ZL2k
/toz5xqDDSlx6j8sdf26sPl2SNmhi8j31cilHEW1YNCDi8EbqgcTriMnzQCLdK8dJprQy+pTm43x
jJinF50jMjylFgbh0CU+UjnyM3qIadmHcwCNuL5VSDdmyazf49FR+ToNd2HNr4x6t0FUfTZ6+u5N
CKMEYjjx1S9bGvJyGqP7CXHlKQU2F7uDxPtXJeHmxkVgEUyScLNoQewRyMhTYDCFoXJPoLNeGuD5
WYu7wfHXrG9pay5a2ZcuWu77pbnD84APwUzPXQuEK2JuNm4jQ2YXVnQyT5lJx0cR2KsX6xMoz3Po
mmfhp7DzoruY6qJPQ5ER/IsJWVLAlzNo6YU45GKIyLoZQQ+6CC9ijy2Q7zsIJQ5Dgy5+AsKENmjf
9nGA3KYHJRx7Fd/HfXNcV+IenRZEVhMzVLqSZRgr4x/hytVFyhvYkUEvytZFUxGyzkOXp95hmk3z
H6/qt96KC1fnn6uy/+Z9LT7+vrmy/dQvkgyXZwVxjNge2Sq3XyQZrjZNkKeJIrhDv7epyF/Q9Qhg
UwVwv7c5AL9KMuwn6LtAyaVo2cAS+zMV3d8B5hihCRcWfyAmr+GU3qYJ/CrJ6JAsTRMQfut46hOt
RxBwE3/3bHTkHhzXBrE2PUxlEnUIzie7NaA3qVXXhXSgBpcO3RTYLlBATj4kk7+jkbuDP/O41LNf
kgTkw0ztjTtWRexIoKTe+FITTA/hHr9hkeL57AwH3uovaP9S7DHht8qvdQ47FqdAZM6GzN+QglM5
aVEeoTYuYzvjvLRiLd3J4cXQITQG2ApNmgnwRmhddEbQ7N0Jae98hNkKn/LzZCJ0oOn4hrCZKUDB
fZNufEKqoi+UQSSZzrrNOhpkEUPSQCTp3Zp6r3MF16whmKyCTtOS8WTEf8ZNna+097Ouo1WWVMeA
jjubyCpT4NAyfzEvK6OXMRHnvurPDO8pkxbuV+f72DJb7Oq0K1vhXyrPf6osH1EdAvgAjoPcjJ6x
0FsH+3IYHLrA1nlF+lcSDQ4sNDjZCDwj4UgfR7/pPwP+fLGboBqhrBAc13u+ia1GDZ8NBeEHFdZt
ciycIpmFCyrlaRNrDKqNQb0FClN8pnq5dRAPKtt2Wgs/gsm0brKPDqmzd+T0EEARRhziEaAp6J62
Pcv4y2i+gLHdhdCT2gZyPw2YgDRpWg7om8mX1GPikbu8bz9qun5DZv1hDRDiTKZeIg4+MEK+YIjN
tcLzfURryz2Y0YdTOlTpbdhV+mTTKg9T1LtLEh/GwTaZy9w6Z2Fqr0GzQhDWslv2QPRfF7EUSd2x
S2DkB7A9/+BKmipM8CJs/c8+9z/7HCrFf7HPdag8h3+wz+Gnfu5z2z3NGFfiw+rGGO3IA1X2S+mJ
zS+Mtxtif9+4In9BkNnFXMhtuOdvRenfKk8f3n4ICu63OXDJn9nmsM/+sfJEPgp1MZwvTJ0juCvt
99uc7KO1jWyFypMHT63Uj76OzrBI71uD8WvLHLITdREz8cJDY21TdG1b7ao5xnwHM1WZq5BZTiwm
VQE8f3BDDHJifeJlSzjGmV69+9FVqIJSvJZIJCt503vHlA4+BD1/HBKwRauQJPOkuTjKxWgUAVMZ
gVhMNDARpn6MMD347DvArBZ1dUX3hJuGogsmiIibZhtqIGNfofODJebzZB/qTVbPcsljhsFa6yCe
mCDoSDkdILJBH1Uf7SoyUkxdAp2ehN0HMkwvyH84GfejgwycR2dtPfiH+rJuqPca0XfkO5tMRRN8
USg5MRwbmLA0+DazL0OQjyk9AFKjxTJPyHOtcD8TzKVCQWIwjgWOW9nb5suyYps3I4qicTl5I8R9
6uINDXN11AO5sw7GjVhROuvNNHonE5LPURMf0RoPoeEx9ylNopuBDhhLZEwWztD30ni3bYz6nLoT
PDUXX0mQaKgvqo/JELoZUh0PPl3C+9RhX40v7rUggLp5wAExMG/nK+nDWpq9XQAztMSYlbHk7dAU
Vbt42eCSG79mRzvVIdoGrGiIeDCtxpazTl6pAsTQfvAVcQoAAdimKqka50c6uhjy5KWv1JFNJut+
r9zmhH7EU5iuXzyHin1n22zEttfMLC2kD6KhRy4k68P+sLizn8ejOgUe3ss6qH0adE3eVp5w7/pw
FI+kUvjFoNf6Vt6u4fC13sp8f3bu8IB/SWUtswFz7U6s9d4G9AaGrUngkBBBzSX4MMv0MSfW7vTW
UlCaVAdETd7h27oYH+izvEWfc1ejFxH5VJ874gKDaz716FbACUUHT7K9RB9DWRQwGmOCduPW5ACk
sGSD1texWbF85idGq3fFEnIQAZR643SP1Rogae5PrwpdFHADmGqBvgr6iBzHYNztCHouMY2eB+ay
E8YHxlmLvgxec7lRM8A6k0pZjjQe8h+5jnlAQMdLty/PBDZ34youoIFfQUoMMPenKdNaiJP2J4MK
FAPKmEWtyDXH8EGj5Rt1t5YSY8NdA5AIZrwqzNZ4IlP3QjYlTEcGlB7aWPvgW8DAi7LalLPeNLTc
1LTedLX8obD96ehumlsRdkx+qPBNj6tNmWNbBGIBsY55bmsmId/DUR0ayPlGghFtNoXfcwfcwqb6
EfuA/t8qARirxRh6CO7gXzAU7K6haSb1/OyhiIiG6SRRVKTh8DhvVcaquz0y/+godNUKSNS7zihJ
ahmJjZa568LpvqXLC9mKFxQxukK6oN3qmg4FDqJ5pxAFj9X6aQQGhOoftRDmGAZZivKoRZmUbPVS
Z4kGLWAu1RDct8Ly0ixemfj9yd+qLYuyK0T5VaMMQ/7xirjmnWoSaDQUalUF5AHl1xtnUBehIqRE
NuWz3uq7aqv0Rh/ULwvPxullOXM8Ncjn2vYFQyMiGF6xCPYpifySSSTLoloWP06u/2B1W2Xxz49w
pPy/zB/DF/0PTnH84K+n+HY/Cnq9IMrjjbf76ynu/iVNIxzUuCcYB/bvJ5JFmEeSukjSIgj8u2ol
+QuKHpzhqH226QB/roGMEQF/PMZJsM2FxW9yEcnEbZi/P8YFJZhtORN567qcHnqMMmUUYnkIljOK
cAuTxNc3ZvLlPnBXPEhmuhNNiBy06N6H0JeFdvQBCyUq02CwOV3iIGtCpnLMC12xfS1+wUbiYBxI
vBbOYro7RdNXFoGnmocgyI27nhHnuhmi8EBkihSPw/bK9q8VoTJfFbmsg4XOle18mPh4ol2DxlUY
nVaC1iUNkwua8M80grEz1uQ+XZK2EEMN+TB88aNQIDVDX+YObcgF6WrkCcGptPN6iUXyairEzrwg
eEu5fI3NfE5bzIxK+JMTdZeRAOFFwuhZDOhsOB6SotVyTtbwQYhm51Hnkw+2lSq6g1JJUNL1N30i
35AOuAasw1y1yOxng10ED8UXsCk6EwYjQJxkLOt4ZRmcO14Eg4GHXikLFkVM5TzPFmFhjJhaDBhY
GhwkQ4cMR8914dirKKi4fdSOuyZWOFFnAPAgy3LHX++CKv7qj/1TO9kdYjJdFlBxZ8IYjcruWCN1
llWJvoun5JmpiqIfZN/iGtXV1qEtIPHanIta7gJ0bgvhJ/txWO8HI5Kdx/jJeGhurtuIrNF/jtkA
HpD7VR7L9LaZE//Kq+RgCHqs15AdY8gYJJTPsW2aHLeA7epkRrGkkCgaV4wCC8YZCSPyxmIMYJ2U
8DMu6z1KY5G1nfzaJrEsmhEFiq+8HSfIC7m0tKM91Ghgo0Zs3och+MA8vw8MCaYHqsLrlrUys6IA
BuauhDkQvgRRi1ipJZBqVZ1LoU6YGHfkkYcAI9sNhOIMRLa1tAYYqU9juyc/SikRTWO5zM593S/f
0rVdhjxyYYO6EBSrCjVcUXUKHeXnCqIjjbeDzK8gUgkQbNypcPA3nSIH8wWpy6caYOisO8AGsFzx
6OI5Sl9lgFYj2xQPptGqsk6pQYBhgqWLZBGmi0IjjeAzsyDiDymm+MV+FWSYDXAUaYwJZtrDABpo
LU4brIuETyWBNgZxCU2G+3DdnbPpNBe9uLOFdKsg4YJNy40QdeDWXcz2C4Zjr/Fe2LggnrbiaAZ5
BjW43qKFj7TxphTh095VkI6sc92i39RkDFnJRfx5hMzU8r4OQ1grUKCEdNXRxPJqwFVkM1Rq6stv
iFJAJkG/dmHXlwl8pcIxDkbcbDJ3iTZxryIKSsPZQ4UAwfA3XTzAUzpqaOVaKpurCo/B3FVf7Cao
fasu1SaxBbS26cOD8GC4WKhwh7Yf7YQl4wuJZxtKXafoo2zSHb3kYJux9oRM/vd00/fU4LkLNskv
BXgMjCLInB56YqZK3Di+iS4eigWn7tTVzMi4IoXelEm6VoXZqoupqmROB1QcbPl/7J3HkuRGtm1/
5dqbow3CoQZvgkDoyMhILSawzKoswKG1+vq7kMUii6J5jXMO2oxtRVaKiID72Wfvtfurvk7IMCzT
SOrKu6jm3WwKnMh1GkdrEfCKk3yFHzHNN6RRLJbyBveirJ9XJWOPUdUd0GE+WNFcBZ6yTEdshoNN
P7EtKfDg71BFx2WWSgiKIzZUN5kwjlhd7tRAvQ+W01zT+0OwnO/GPGOjaYq6jq/LUaufk0+AovUJ
U2zAKnbfAYufsEW5cBerhcDofMIY/70TqCoI94WE89/vBHe/dNL8+Uqw/He/XgmwpAhL01Ai8XwQ
DvvpSmDQkYnF3USbolZrOa1/2SkL2D8wcHCO/YYF+mWyB/D+KXYSfWO0x7n/jyZ71hR/vBIIHSgO
jHlW1zQ0/lHA1LA3d0ltFZexVu1N3oslhiUYaMWwi+y6W3CH3EhBIF/zQ6hHgtFcti0WIPvUUYtn
id50BcQI96FhVHdxZ4mdSeD3PCRB+ZUMXEbgupenKLUn+xN6vSpdhQVopinjpQH0fV3BVHghU9Zu
tACBZAUUPPXB/uTnJCzdrw75FozJBMg0TTnoIFIJmFrZA6wW8yXt7fpu0E2S2E3EwNTlBUpDp/DA
N6eCW7HaepHR6B+F2aXPpprmu9BsXD8vg+at57aEb8SR2EHcYWvHQ33sor68IcSyJsbT4kAOS79n
+dZfRwqL6y8FJhpx1PJgnsZNWyTdVptBqH6I0I2jcyTSrmL/1+Q1W16MOnaojdFdFLs8WXCgVN7c
Yp4dzg4AZBCeoYhGsSnSwYE8kPZsvsk1h6k8WkquTNCyyZTFvV5la31wwbAF44s1pMYbMgCSpDJa
+QaLqXmYOmu6A6M/vy1pCqYbXarHcEiAkIWauw3KPnznnSRXaj7Pb0ETzR+WHJ9rpdrkoTwoy7Y0
00gXDmZd7kjJhhr5/Y4Q3uQox1Brp1NSjCWGc9Y63pgV0B3kEMpNk7UAYPHJs7ZPqidhy3SfutqD
kVTRrlSqyYNI23vsqdqdFTfWnROV2b5VWvehVCvrDCFO9WE+uqqnt2ZxHzQqoGPGmnfFHpSDkbYs
oyH1x46m+HXbc8tSlGZcA8WpWn8MZPnNVopmP5VBfkuEvNmb6my9hrNm+7Nrxw/c+uKTHYv4qlGq
+AVAfIFuZE+nJpmLl7kblSNv3nBl2PlwHYd18OzM2fCQxzWbsGKUd0BDy0vUp8zTWMiQa4QA0No0
QgO97UbtuhnNxg/rabCXvau103v9w7Xws6fGwR4H42ayuIAwJlraR1mU86aS5PhcAtFeOzjmvxLr
LxLr39p0odx0zdufn8QLePGnJ7GNd0YDcQZd6dOn8+twRgsW1hTiwWibnza/H09iSjMQ0fkj9E8i
SQxiP6+SlsUPrkLC8t/50/9glaTby6ro98FhW9VIOmE0BA6G2vv74WwcghCCRCCuk7m0p/1s4fZ/
7yOjDa6hExhZRj+Gou+cYEGbd9HdJELBvlWUXOGJKmoBWGY+F8m6c1vhN2am7tQhAXU/GgRP+uJN
m+ZwBaP+ba6a0c8MaGJ1Y0F2JedRBfElrojkh0G7LrNGeL0DFsCZZha8LkUcbJECyDlJ7w1K1q+j
uk39yGqPXV6yoLblU69ZN9LIt1aa1ZhOfOIcW8y03BHVTEWkKm5mlJXCKvZcRk1PpgXEk1ahvgJQ
AQD++c2N6xvLwovSAf9HUtEvutqmV52Yiw0skJwcZ1qA4am+GUH41sUsrTLFXrfTBwOU6YMiWveK
QWg1y69GXTyVeYj4xmS3E6QOV0y5BJFKjANGwdA7O2690vrxaMwyXuv1/EF0ctMV/VHjLNCIaDZl
sW2MZl1DC6IQgew1GxmgkMZHi3kCkCS2fp5bs3EC37mbTRhCWJmwA9pwYyHKOwtaPk3LXQbGbSzi
+xT2PHaam7JWj3ivV8AHQFiY2U3PS9ot2Hp1lHW+bRXN2ThWedDM7D0HJLoCHndSe/cEUIYMCpUQ
1gHhoL4hglYGrzysQn3dGEWY3yhzO5VbzuiJK35CBGSOSStZffJFNw36FeoBykP3xW2ija274Wpw
+GPZDR+MJ80qbkYXy9K4a6foLPLAWTPFT5uqjb4NilUvBocXwKr37TzeaL32atREsov5RfIsXFlm
Y6ztUHyV+ngY1HB6TaMq8bC6AvrCDuP0QKZM3ByxWd9A29jZtaOcyLPcT5IfC08qEn3oXAdjg9k1
mlHJTL+LWjoIEstdt9ak7mb7mxYXAnZM+9i3gEOyUuh+CsgmCUmum4qESwXhq9RMdps9ROQi+hIm
1Uxgepo3zsDeAE/XVleaFzkUu4KPzSp3iAsD8sFR0syIp2w0NSAZ4yACJGTlMgXKc92qeN4MjaqC
+MEMohAMkG4jniNdwhXTHfawdkKMvC0OuUnGNgJS1FU84CMr+dZE7XWZibe+oSMjRTZNpviMmHws
l8gPo/Uxh6jk6YbR42zCQRHJyIvbfthWI7SMNmKQACf6lifOy2wXa6Dxe7UJX4zEKO9mBZ+dEjmw
xHTzwVaiu5FNiOoOz1UkiKdE7n4eq2MQOuUxKJpnizoOGHx3imXtI8O5VtzmJlKtj1LM5yyrd0nB
e3O2ptkvNTJ9AMlu+546CxguYSeJtUXuOhnd3OPTY702fbOP9Li7DZye+0aebqiMOVpLmPzfMeNz
zND/9mi7ohbxzwfb8t/8ONggHi8qIVYIneow7vG/jRg4Wi1oxkwyGhYKZMdfRwx6EGxSusvSkdQ8
wZCfory43nHBA8OwvquV/8i2arh/GjE4zJgtCLqxdGOVufz5T7bVZlbl1JmddQ6NfD5VqBZl4xX0
vghEgrCHcTcHnd57im5FKThd7mhXk5rh1+5kzA2y5dp+5XRSRdfSQ74GyUt1UsQ6UDoRu2swMDom
ppliGeKCkM0B9XWZUvozF+zF62YrbsmpU2MudXvTGm8ALCMVRQplKvbiDejG/ElXO7ni2rBrc5sp
f3ESVD1mNGKbnwaNZhN06n2M8aDOrXRNYMQHbXObL94EiHe4FLArlEV2zKvgpGFjmJoSNW9xNpRl
RsfQnoMWjNvifZCLCyJZ/BApkX5PLh6JbnFL9OMM3N+9aCoCIIQMgoQ4K8rFY6Euboshcw419gt9
8WHIrn9uF2eGhkUjk6rpZ5g2msW9MVg9trbF0QHRueV2O49+0lopIhnOj8msTRpm9LXKstKPF3/I
gFFEEeMxJRa56hb3bxZoX8exLLgxNBTEVDu5+E0yjCfx4kCRdf3YmVO2iqvhxAiJU2XxrIBDv6Oa
Z1MtbpYgCTihs8wL6qDciwhS1iiKc6wXt1U1rAK7PKKOrqIxzrluVFwj4DxhnxGQ1XgE9n5rqF5P
+CCNhLLqy/CAyIJHAp8mA5jByDDGXp0WycaZbGWjGC04rFnb4ESMT+o0b7UwfOpQcFdJ4UqUJ0P6
ihVeRhtDl3DblVa1hx6dxKvU+iksJt6JiXmcJu2uRaazxrT34lGjiiK+DQF5SNPwgXl1qLyzXAeg
51hGKsGuToJopY7uhXS3DenC+ChSrdlpJSElMy/Oppa328gAsGckDyTyST9XHszda9hdNAG5CfJY
6sYrTL2bOM0eB9TFCfm4U40XtaQTwY7NbT+kd2Ni7vOQqcoKosyLIHitpibueaPr0bEsa8h3Lhe2
aBiechspLNZbdO/hURPNvWgSJPR63kLdvo4bEwo/NhmzfR/tICfOjDjY2QmGnkTzCzRl32i7uyCe
E3Z3Gk64KdyHjSDp2la3nTW/AGF8rUxO6lGi27kQKFjUCm0l1O6hlyrqVyLYAFrRAefvAdLsWz7D
QVFD1FS90O5c09rIWtyXjbpVjOIygNEA62/cCRi7vhOpqNqjcmbcvpJ2qayMRG5GmT5JQQI316a3
LJxHUIfhrutrsZx/YMeBz/hGlhYbrlngWaqe3w+b3nScnaOLQOy7mrpF+qxPy/42G2zepHoK/ILt
DA71YZM207WmiY865VwuajoObPuhoA7hUGf0klna+IF19jYWlG1Z9Lx5WjpOWBimb0OPZsd6JfeD
UBdo4bazKptW26b2ACeEwI0VJLx1VIOVogagoygloieAYJLA0S4JxzcranOuOXm+Bltz1ZnVFY0r
Hwm0Ur8gRevVycQbCpTnrKjf6kEcSanuJuZYSHf62oImaBvJsEIOPKJg9xsix72vd9at4Dq8D1s8
Z5TDcLnR4ystyQ7THG3RHo8Y3G7iOjhmabyP2uouiOj7Gl12A0N9morg2lLK+9LBRQvatcJLFFpH
l+ciz0ZYA7SlsbHphm2cFE950U4re3D5zHKrN4OhXgNHa1eyHx7dBsNtVyh8pvOSv1wmL6PRwhvj
rp10jDCZYxQrF2reJpmiJ334GBaqKUAZuc4ncYys7GWc+I1qbneXDq2+DvoC7pvtroxGeQRs/RGF
LbTKxFY9Wkq4IRVfoNdSq6F+6zXeDGVu3Zc1L9ggNMM3UyxfWphXmyqzL30M7dNgSb+Aj7007YFT
Jrf8qP7QRddzJsTGZB+7CnsFq21qn2wOd4i76r4rEolS7Ix7MZh3ehk8RyjI2zqVHxnkASysw+hp
w5zvmqR/MPJiXlk2qNFhrHvQNf/ekj5vSerfirEsddoa8EnRtH8lA/xekDUNXl6uNqiyvw/56Gi1
mvnDM2URSPwR8nH+o6mGDuAbu6e6VE78JgPYXKRoW+K29N2G5f4Tq5W+1IT+QQZAjsU6STME7Z2f
O+Sfb0tuZs9ujpPjGtUU7zyMhQJ/9aiJQ06DZbyKkT6nOOT+MionJ1+e8mbGVB5b1Ejw2dLa+H4M
22PijHe9Op6mAFdSGVlwnwaHA07OB1e2j0M2ne3M2JuSQA/+RK9aTJDjyJBDD8qIM1XOLHgyigsR
JvBh2+64ZYf7zXBoshg+o2oyITgkaR4ifIO06YhNF8cO8ykkXgbMl4ljymtSMa2plst8tS7vhYXl
RHSKzjIT1a2c1dVE34EI+XTWefCEeOi3uoWFqml8Uw7vFu0ScVBlvqnZX7BJkFCw5LMF3dKDyb43
RtL5FQ9jGK7PVii2jk3lUTAYm4jJzTOabKdbvemDCaPciHjlJPoa9On4znPtPWvHa7WIKgbM9kWS
1wH7kWyTZNzTt5hvtHGo/brnWU2j09eQW7Y/ajkxaZMn4VLzF3TthxXo87lJpjdZmsEReQWItKlz
OofWWskd7Van7tMXIIhX0mS0Kxixt8OQHDWz6tnHsBjnoVi3G1DYUKpsySbJLqixMdQVjQ7gZiPW
QqE7Yz/V84abscNdjtEWRhSFFkGqTGSZbdej/ytaKxJM8qTKYJ2rjTyykky3VGC0d7rZz4845shH
qKBFkyZVr/ATcZYMSfJS1Hhb6Ce0nllgZrdNrVWXyNLl3tHqkSs7Meh+SosD6E9WAooQ8SkY0NAh
346nrp4BO8yZGryPDmgtHwJ1tc919YZrl7aOwFQ9qBO/+G0A7/9Voenpm3BYZWZLHHNoIaokJDSn
DItes4Q2qd3gfVPDlCXP2TKHjuQ7K6JODXlP8L/uSqm6c71EQYMlFGqrPSuKJSgKiQXlleyoWEKk
VaZCR19ipeRLQSaHXrJETvMlfGotMdRZLJedJZpqLyHV4jOvqss7+3uAlShrsYRaaRTtH13Ay3sL
HdKLlvCr4hCDbcjDjkswFi6vPzpEZf99mH8fef82GHD1Vkvuxn/xIF+Mqb+Ove5/KChgnGSxZgtU
p9/G3qUp2zUNh0c5xRlLDPzHc9xest4a1tjffLY/LLO0/y1sSFd3DCHspW/5H8i5GHP/+Bx3BIlx
dmK0CQq+jcVS+9PUG9fUytizHl1n6iwCAImt+TpqauTszTrPw0tBN8th7irr1YrApu9cJUcsG0Zl
eAGr2jy6kSjuXFeaMwUE3YBbI7fbp8ZAh4Xum9rc92KcFlJ5HHWDzXM4Cxpb4croo8WWnlgN/rKu
t+7DdHobwvmNw4Ty0vHWahyw2pa61ZdOL33CUaolFrzvwO+UGsB8DPWmQZgN676hf2h6S6qaDOiA
dNjhdvQaDcg/8LiU8I2zAS9HNnuZmc0O5m5YQ2EZgl2Zce3szdtMWrSxAfifgvHMABD6mBHfqry6
Kw39FY6TweBcDxumNCwv+jxvHUnhT9EXcmUJ8za27BNS9LOeJZuEiqJTVlNeGnGTJmaHCaOxNU/g
eIXXV3LhnpPbviofqEAurwzKNfANC0yqi8BXZ6TwBtEzWpKYxwU7UimSh+kpLzKgFOWzYXEINZpa
+p1af8xNPQHTpr3Yabpd2tCFBLpSS1qfkSDeTIq7EgJUDQERVGOqkqOY30EVaJgOegcvXs4/CeyF
Xu4Wj3mUfGXQu3EEjL8y/UKzxb1VLCn1NqYVyQz2slxsKBWRKNOOkIbRDcLOOoULa6JIxS0OmntR
M2OEpv3VKvLjPBm35eSgrasOe6kc82bZL17acDzmUlu1y+YN28M2lQoIQcoEVi2FtJhwHmOrSX3L
GiRHnFxbJdErEzeCMgQlCztnIyq7P3d4srAoN07r1WLfJhaOzyUtUifdzdz3lgeu6JzPnM8VNZB+
PHUPJA3eg34wd9iGOrwR6gaJ9wkgwrNN15xea29oIIgiy7eh9rfK5GyqYL5OE4lfVN+4wYU3a3EW
fXdK3eQyT9arxDe8yROm+hrUGFN70u7Vcjq2Fm87zYxPBbY0ZwGi0bb8RNmB4sF0liuNevGVUstN
MiT0a2bXhlsfhWtd+galoV2k6NAWaAbVK6XA1C/qDxl0d7RY+1D21vWEDdjLre6ouMEm7KvCZ9F9
78T2u6WMV7XVfehBdt+09h7YwynuE7oyI5vwDB0d2H95HbB2fSVQwkdsDolgj2nnM39c88Mvm7/o
uQJQSbgxu9YD7VKZYlO5ybuiIDkv61A7SijUNrJL2xXOKTeio521+RP3uBqrKuetoubpUUk7UPgR
Q1mAH3EFuuttCIKEnUh6ozXBc6oU0woiBksJV+xcZz6leXvVaRjAOvECi/utNaBbm3zRgRmQhsI0
cClAbq+5H2zpLtkZUKo3MmANY1rCAzGZbyaGbKHDp+dBSwgvOtBdYBylVmMdHxPiJ2Ov4c6dc4q2
6Q+kALRqd1rsPHUZ5KawgJm9xJAbyBVquyXMi+yfFzQ/jkK/wGWHKCm1c8QHi3oOaV7ndjZ7Zl/z
4rT2+DRXMGxrTUuPrHXNbcuvgH2wku40m515WeKB8MImCBkzrTbatYqhYC+L+NJTqdICGWP//feY
/j5zoRf/dwOM/5H+z5mb6cef5WmMqr+e0zq1eyw1Vdbv37ksP53T4j86dzxWsj/CeD8O6k8HDNYY
FRDSD1H7hwNGo/ZXBcbKEW0sJ/w/grJwF/jduCUI7pnUuLPldzn31T9YYtugI9475/olp7ZaTeTJ
DpOV0U/rn34zl+9r3P8BTXwpZN42////6Z/r29/Wu/wkgDSXyRIHMMVG5h+9t1SeAIeMkuFiUha5
byHsi7U5d0sfoMRVCGtSGWy6qdvi2p26U5WUD7ZOwwoaElRVikPWSa0lx742XZ+rLu0/Uys9xaQT
EJXleWiQEjMn4pOOLLWKmvSu5Auu9DK9FKpkWUOZrOdUeuU7gPKRhLOFS+ccK+jSbqzibyBm7KPK
7QwjyTeB1W9QVFq/I8rnN9g+Sls8KY595YrO9fgxn3G7FCtcr3e47m6VbDwrinluJZq5OkgIvo67
B6F/HoIs5KqvPbCAStH/ejSpZb3V9e0NJP7NILon16k/kPZfw2zi9oNFLulsdqeTvJD6Plp2Ru7W
5lhxA1i5JO9XRl0/FFa4k0vePY2iI1yud0oHk02fcYBbPdG/dLGsKB2nWMoxuNHa+VXLYErOIr4W
DvPTJ6kPhG5lJa+drT3UTXgFQbnzCm26tatuy9C/w27KkcJYxDdqAK5qaUKJdPNOmUrk8BZFyHZf
3RbbpzH6XcUw2XQi8XhD+A7mAV6/eIvh85uDEunRGXul9B3SFNRSv2IFrtnTWafBd5zYuQ/Ujm4S
Lb1QiRBv4Gtu0Z2uwjAIvVYTW3fZR0SLrUexzN4vK/cVpWCH/f+2yGFjGXPzyHVrXoXg8T2jTe+a
odtrZtL7taF+UdMp9MJhekylNCmvma91ENdeE8VsOeb6q5bqX/UhZbWN5l2k7p6Amcaee9hmiXmT
0XXENsM62cacr6w0/wIPFaWriVYQR+7ZMMc+94ZkN3TG1gZzoBvBxskFoH7eYmRaBJWQuKGqtzwu
QtDBAFenFdsY1icqBa89la811RBiqHJftYeN5gxwjap6PKSpSaBigr4ZYLYUxtdBdffSBH8y471F
7yv7x8Q0WKLAvVQ5K+SyOB416Sexvjcwj2p9cm4XZ7FTveGTuNUS5QOHHVcXdp8F78b7SYdKEjYt
AZrBLwaOcyUzMxKU/QkAbeErCCGmTPJV3/RyAR4NL1ZsN+sxLK9CqQarphzxZizNGM2pjMmpts1u
GNpnip+4naPu97FKgUhxlVh8ZI08ubCtZd+i7GfWG8gFUbSexynbxD1ltwPCZzxwOR477Zaqmu1Y
tB8JDorVSGF3bpXPKKuk3PaRqOksUXaTZb+Nsfo6m1OyslOuulP6moq7fmh2U9cdyoJlk8IGH/QL
2ETV50KANY6CqoFTvtcBWmoRToC57LeGHbcbVUv4ffbidblAt7AJ/EDhbi+Gcttp+fVUMKcUMdUj
k3ikcM+5KhWqke4XFSN0RB3sCp1l0f/1GP19EHF5inJcLMPegtNTtT9igZumMUQwWdNlQGb2xDY4
jHfFFahXT3nLn8p1sidV5gVHtvydH2+N/d8/xpec4+8f4nx51+bc0Q0ddPIfhro66Mxesbr50ttv
ZbB3cRe646tSZN9vFFQ3hH9ZHv9XX0dXNdXWwPkLbEe/Hx7dljNL0lBy0XBOInXBG3HDPQ7C/+Pr
/P70+/7r5PfJGahRNkny7fdfp8LWbnZapF4s81hbhKAxOounv/+dib96zX7+Yf7wRbpIVRudePSl
3zSPROfW/U79yoqHbOLVUnPq3dZr5reNvns4Qzb3zv2V3Dw262B9Ex8Gb4cGd2p9/kW/2PC/9ePf
f3/68sv844u64NhswzRweX1m/H+a1FNa1rDLqNoFguc5uFHX6pX2FB4oJmMz7E/e4UXbjqtztRl2
prnKjhiIbkq+XyLtq89v5d90lcpr/t8vkpv6o/krk8PyX/2q9lDTYangHKBz/WJX+NW9hyUalQf8
lqXybyz1qr/JPfx/DHrYrz+lIP7CH3KPiRJEpso2bTR4PgLin8g99p/dey76v0tI29aonzYNvomf
5Z4ko8B3xLpwxr10CNuqz6/aQZ+sVZz1JYBKOpWRNoYGbOUnwbJwF2Bd8Um2bOOITVhzRx/Y5EdN
nqwGOJgInj5PfM7ABZFZaKnlFW78jglbcnwA0pyUhhIgqno0lw2blSovlE/d5tA3h67QkpvWLqO7
JJE7l/1TbiMbpSBdQlUq5yTInQF/Q7WuMyV8mco2ugRBJK1LlE72xcwdjnWBw83wLIJYhW8GmZrf
W7ZCARjAmmHdjFqAdVtpIvnYQWSi8C8ZnhL4oga3xWJHP3s87XS1vqK97DB05q0ZiskP7PxRndP7
TkiEn6j8oi/JLivq0OJBHNZtDNjGeI+WFqdaEWer0wlrjY9dJM2VQaJW6RVfyWDBhEugSTDu+c40
ELPIbbHWBGvDwHC4kSRETMy7xMHVG9OrOinyq+7a91knPlTBQrHJ+KWYTnvDyhSABYGi3cDfj8Gk
TF4ng9qpZJA7deY2UC2Xuix17qtU0zdFnoB4pyHQG2N9F+HhyPu+9rNB7o0IIc6EwOvR3zWT+03y
tR5XlM2p08Eo9ZtA77LVbERo0ELfFQlXGt1hY+tOo76fem0BR6tf1cL1na7JaN8zA8JCzTbL3bcw
Ko6Wax8bhAz6UBWWG7N7Zwdpv6IXdjMGylfTnTepOu4BZ5zDmsrGPqj9sp6tXZYvinpQfmsL7gCW
HPCbKNmXIXIhzk/5M29pvDVub++shQHH2+uGtFLrtU5xbs1YASAWXKgTvDFZOXthpN0GpcLTEbQS
+PnaXMUmWiHvN4SU4rmLERyKsD20vIJt022AK8rtaJIRtNSqWKPJ7bN+uh4r80lr2rPbyvsYM/1K
qs1jFka3Ee1ixJAw14eWsofeY3h9VN9OdnBPEOFmrjo+IhrbD8CPoedKCWK/Di5YaHZTGihshZQv
daVEvirKhPoRMn2z5qYrbEEZlSQNWyJV+JSpzYeitK9j+vA2BUz/Vdnlxirr06V+ZziRt/sKpPIg
OwS2upFXVkwzi1TtI1hHDT2QgqwJ86zGB8AXWvxWq+Wwmdz22q3Fc69E6gpYLR6SKbNWUWd8o+Fk
9sDV3nYz9R6djWkU7KS9LIMpK0OfS/oHfVkUK8vKOFjYXg1b5HTSZyhJ9rO57Je5Le/7ZeWc1voe
y7LhG45zipa1tLUsqNVlVT1U8bVkd22xw87YZZOaUBgvEEsH9twycy9gtKuNtazAh3JgBlrW4hX7
8WFZlKtszAM25yCAv5CU2VcDThy5LNcDRf8QbNubZe2eZdljtizidTby07Kal+zoC3b1JsKT2S+m
SoCithitGyN2Shv3rjpR/Vq9GwMUUN0ENLIgDRavA7pau54TMHv9/F4b+kvluMbOVZFuS9e+zF2f
Yw6L0HxrC7MGjlIPfOkXUtHNXrXbuyhv05VTquluUosJTnoS86w1XktL3LUZZX8DFV8b6moHnxq/
2I/LEhCyVM89WcA188NHP08kQ0wQY7He+0DR7V2S5C6QHZF6bldhjVVRBQcxfGGIy1Zag11MDQbz
LEdT0ndZjQzXeuQbenU75JCsJocEqEbRXCJpqzEcCQfAmHxJs4I/xVF5ldnDfsqC1ywfsWQr9N1j
XscmZfBuLev4i2XnyLrYcNZmjg4pjGlnARXeF6XYJMRFfTTHdOMQWvB4HmLuiavX2jFpSlS24RBs
C9htNzDSLTRJCQy9GVSPYdXdjEqOLRimx41FfcYGqPyensgTC1YyrlnsbAEmwqqg7AoL2TQdoq77
moBo2CAOGge9NIijku7DCBrmuyjP54cZc5ovhknZmItyzEqA5yp1jJ7Z9nv6BRebnIMP16TiLnUP
gTsfFTlnwJ8B3QXJfEMvnE/n552joKjODci/qCM72/XTpeyi+1xnxEUITjdgIKTXRUrNZqT9YlWs
vzNLONvRQSqZNPbToAlQh9Po0kqUnWBW/aSQ/bYs5yN++hNwCx9P8KVnZ7o2YjIoVARZNHXWZ2qe
vjh59o59hZ2i7cIrpAAdMogJScCZWJyEDDgzOr2qYqzqkrciUS5pLe8SSBYrlfv8Oq41C828/Eix
K4eZSoGGITDbS8FfKfXcH1L1paQX1es7eQ7cjuUOjj9/qOpgVQTJMXcw78djHD5WOCJJ771YUPU8
nY8utavfCE29mIYCbak9l59zd5t9CUzdXdP4mdDTmT4iGqMqSaZqXVFuZpWWEyWVVxo7agAWyTFl
v74SnKmm0vMA07SP0Wl2dhecnGDKtjg2D7jMXdxgiheb+VM21edxsVlaE36+mkJSXtBD1WhHM82+
KqXzjc0V7iYYG7QI74Im/kBm2jRsRrYNDaVNyZ8OhfKoxir1xccsBlrX2SRTkze3i9+pNVyVPfaF
uLb3nSRja7YOPk+rPswNtiz6UT2ZgWyMYYCOM+9nGejwEXXxYQDM8hDc7mQc8i/zAO/poZJ1ymII
lhGZbyqouLm9cgPbyxFgMjcd1BEL3bvIVh3NZlbl0Gc1PGkGf3k5Flge4mMCvnRrZO0Xsl1PISY5
eldAsdgZSdn8UTM48Nw83JoRXrnJMc5oGA/1AAUdRxuc/7K6lNI9wU1GryPBzW6NOqrY1NCfsIMW
I4BCPcZRNmQemDkspxCxUNr56OQzUpJRw6bsK340Jydvwb3Tc1KJpYDqhFzUWL2iwzDF3yLNlJtw
cK4nLd4W87bBe6U723rKfW08OUpyH6U94qKgKxrBdRvHPQgZjG8wmN8NZ9hYQ/juWPIk9A67fKBG
vFjVG5STpcCUdhYO4r4+8vG5DydgKID8HrXSJliMLaKp1w5tXOlOL9J93yZ+4BjlTW6xayNrJi2i
vViTlaeoLwp1BVymqQ+oSwM9FnLonZ7sW69MRKTM11w1peKLAJ0iJCInaclNDgWgF29MiJsBH9zO
bgjZscDpSReEnyf49aQofJElnY8V7DlwtHmdO31FaDHU6AKN6UXP7wZhEeYwxLcqrp8w7plexsVL
Ccj3uSbbDlu8Abu+jJKm48gm4hHJNsOeyyckSQTmkKHHFQYhk+OEXUWicrA1HGm8fstrx928c0lb
uNGpqqGVpTR5jK197lt57Xb2aTH6eHkTv2nu5DeuOMHq5nZTlO+cLRM5F2qDcuehkVIc2k79mClV
3s4xhsT/Ze88luPGsmj7L2+OCngzeJMEkIZMZtKKZoIgKRLemwvg69+CqiRRLBUZ9Xpak47oVieR
Brj3nnP2Xnsa7C2zsHNoCpC7l+BySgmmbZHwzKD42oh8q4Gmdg0sGOu6Nfd6TbJ4OvhFB/jAyEux
Zd3dO4KG3GSw2Rlti1qSJzpRuSC0HjfVs2WgS4Ownc3VXCWbSuW06yjpQ1rHrh4d0woBjoFkbtSY
XAMlcezhQK5dDau2O+ZG8rWaGopzBXzEFB/KUD4YsM0YCx909WjCbCVt1WsaKTwZ5PKWtOpdF8X3
ndXdVE5JQ4pcPDJDR9O6ov/mcu49TLX6EFdQuFuJlTEPd/Nkzbukzx54gzfRwnjETBr4UVchccml
Bz0vh9t8HsJVWSenI3m6XksECZKS+UwME/Z9U7mrBpkOWXohRPGYVjZIirbjTnDuM6MkOTS6zYms
/28y9Jcdj/r2nwv6TfZSFL+ZCvGi7/W8qvyB21gHJ7Zw9RkNvZkKqeAbwffjhcPSgFXvZz0PoFuG
1f8Dts0/fa/nUYPYKn+L/6CXtRiZ/4V8QzH5S2+aQoZs6Hi1ZZO/adu6/jdfNEG/ljr2tnNU82bi
AVDmCvnb4rDSpCJSfSMiSPbBWUxYyOfwYxE8VrgzHi0zcfZN4aRsF+lTCnF2Wob6aheuJx2l76rS
MnI0G23eFaNW+/3gXFCmvi5RtC7jcrZDdSNZKk38mFqFPI6w2tgF+0slbaU4ezKakazCpNyHibhI
1WXS0jU4UM0t5outTLm70hrhxuRRAUadNky/DionoBiHAyWAka17edpOCjq4QlKeklwhfWgwdo1t
3VW6tZsb8cx6eIY/LjP8gM9270Cg6AITJ4JRvjTIqFMw2CQMdkR8yWVNwJq0pvlcuOqgIBAvT4eU
slR0MkYnTWr8itSknazZfFokil5b4nIgoNSeQZeIpCWVKdUbX6UlEOnqBrlLuG5Sja27CS0/Ecqj
ndLlRj3r1TopP+QO3Odj8IDakFN/eSRomUlYHhjrvMWaUMjFTiBmozBsOQXSx/dkdB+rMrfLTbXo
9qh9c9d0HBr100VupLsWtMsKF9PXKR/slczYgn0mgLJN71sLp0cclshGFOW1U6UTZeh3qNb2CZxY
jg0czAagEHRZerEv4TKiMaQ6H81uP6fZSy4V4o7f8xT9z5yTpQyfE0TFeVYnJ+C4rgTAK9AzadJ6
tLvraC+pRc82FqdhuCKCuYyQ0nepUx9GlB+7rLXxQhhDtImJFR2hbpIwomL6OrHScthASSt3fC8k
1ekyUDVglc4VPoyeBMpJGWFhl7QDBmMiUKsx9MzL+jHcEFdJ3qlVNOreyrL+1i5NewvgTr77r7/5
bVC+9Lz/eTm8eiwIZVw9Nk+/j2Xkxd+XRQxbC+yRRU93rCWu/c2yKP9h0qskZwCfFwsnk+rvbU7j
D6TMBrph03nv5dIWL5cp29qSFYw37F+1Of+2KKJ/ZgJD+KNKWrKpvXNyaRGZU92U64cof5jbwzje
v/lafjMl17+p4n724ll2Hfq4jFY0hXWc/KN34/g+aPUOBFp/6GfDV9Xqdap0iEPJpdF0rx0Gl4an
zgOLUnuKVOxg826Javd7i4ORKZkl1D1tU1hEKreYtYD/6G31VcoUyLLOvmfpdNsuBdIbZUf8q0a6
14au1o5hDoYG9wmiIL5EFDV1Pq01DEEoxmRjN0Zt8CoM+UzTCCj3GLxb4H/i7GutLlpaalJfb1VA
WnIo3SVQJD0n1Z/7aMzXnYJdTU8jUuYd8Q3yf7QqSyJHsrlzmlDzFXVBmeu6OE/AxK00tYSD0dBI
nJqCaX/8kKrq3lBVZDT5tBdIkbZZUW4JrZ29JqjBwmQbLMxnKJY1EODFgyQLCL/6+Jqn0hEbB1mF
+Tyve932QpReVsKJTCYnjulxKkvboupPukouCaCZLsbUPklmlolwbpAiEBJrWY+BgmYOLs42xL/c
p/FjBzISDg4xM4a9hUx0lGZeDkg2CtT7lrx5jr3bvDb2elFjw1WHswwZkJlreLfqrTnVqKB150sS
z92WJfK8CUqyG+foFPHAfVWTGDVJCdwl/brLlHRxWKc0O/Ur7OUlyoYx8ns73k1ZTVBFYtCTSsyN
XMeYCpdBvu74AjkDv8ViR+2GNVLukxEEmaMPt3qp0QcyDmZr3rfdfExjlHU5Bqh+AZXow1kkml05
iV04JlQtDMxzR2yzQewjNbsyCdZbdUl2SyHzBZbErRn067LBjD0ba2lsHuiegknqHBxN7X3Jh1en
fNxI0/w1RbFJcqHbBIanpeMeJrqNFi8kK3oi0RQEMSYwC82faT3wFKyTOLkPA+rgse2StdT33Db1
61QmW3vpkWvVQ9/I95IkX7XWUpQEiTeMjisb2dOcBhdpTq5ANIX7NGlS2qgc4nXJIi/OcWuaKS5g
E8Bdef7kKMhPJHZF354t48we2+IkxpXnSRVVgWFeJY5+11dtuJZURHY44Hl6EnElK8mp1FO2qrUg
V48QBHBXxuVoIxztMfGdQt9P2QTxzztZRRuCLC5ftJhAkff7sWF+kUnI8mCa2E+N01HhYswoV0NF
Kp+XwztlUDJJuKuTeIgPYxOb+7oyAZzyVaxo2WOcl4jVSdgfPTiQiOJ6iaz0GdBV0QUIImxaJmRD
YrE2MTtGk7rq6uaUiJBjpVftruixbCoas3lFrdstg6fED+N+byoh1V1aFYBdjE0wzsS4jqqy6vWs
8suuhruVx9nRAs+MiE5qkULyiYOgejbm6UsTaI9WSkyQppwlNAZcR0FcOGXSPkhBhyoZLf7UNEZk
gmV+BZNG4lGlh3/bp8WlGDi2qap51AFIs7K4tFk8zVKg5lbFqVVbLIjUl4olLoqe01FFg4016iSs
g23GSTIBEQfbap8lEqGM0Zmcybcpyl0gOCfCgXlfjOmDngTGqo2xcNiBeap0gHsCauIn2DOqO0OG
YKhSi/w6VXKxHmINMQBKXA02nxvZc+rPcdyczXZ60NRqm6KeUGqzdTPUEQhnCpJcDY8lb6eiUsZO
ZTa7bBpuFv9YrtJrwUmbeQDRIx/XR+6w5vSQAswSkcEyUImlV1JCZW/q4dVyOd1r6N4eCayFNoit
a9gOSTRsCrJ8Nyz90W1QcwW1z66LHG8nw3TnpJ+a5IQs0EOBhsDNkI/vepIXUcJa10Zd0nfSQRqi
TGR4NulBsDbS+toMpmubSPdFrUFjvS/btYF+emWJcd3BwNnQAwH0NtUlGmswPs1g9HdNnNnrRfVP
UzMWoAj0qKNeL/iJRbXWEKV6U17em0O1K5Dajtbk9y3sxck6SevpRo4Sf+CUhxEwuukzFV5E7ZyO
0zjsSilpvDLIsNf0iSC/Q76HD0mjf9Tru95k5oXRmElCxI2OH5Uw00C7U5cIBQBKI3BWxMkJp/xP
1Bfv1AJLRpoNygoFmwWuSln8UW9nnGqeUy+FSXHoaJ9jTdkhGr4QTbv++BSg/v46FGCMbslP/Nsh
oLNmkBlRcciz7Kw11RtWpXObDHSWy2YlJocfYMq2w1iBDEy3rRox/lBRYhenrFR7gxT4BK11FPSX
JmnlWoRg3ulALAYvZQ+aZ+IR0Gf7YMohHoQf57rfHGB++87RhlgKNSPzavXXb8jI+5LQrrQ4CLyW
4XQtJ7kblfuPL+JQG7+pTfEVOBTNiAjJMeA74kb/9Sq4rUnJSfvhUIVRixZM32klC4Mc1Owbw0DR
Jg13EhHDF4XDPejIO2GLBaNfsVBpzM+SfB1BArzoI825KtiVwJ4cJFnJeEowqxqEJK6MMjzE4DTG
wOA7V3luzBw6/uQY86WhZI8p0xaF7NvNLFAft4rpR1mc+mmnPUuNujZGtIusSnSxdEdxy1rbJAj3
8KoDO5wic1fP6gte3seRfly/zLRHKzubSJZlHjZJW1kRyZkMLWo1j31Ee4kg2sghwEeJwy9Br+TX
tYAo6CgE6OYLAxAV+5Zmqj+UbHHKEqydENJCSPQRO18Bzo+ABEXL9oH82GNUo5RiXby3pQyHKfHT
U6LfZ+Cl/aIqyP6GdaJRqc46Rw9y8FLPCvFhj1K+bbqcBqIynqBgf0yx6D0jI9zITCFIJYnO1HLO
Vlpbr2OtxXJHpmxumtnB6RWYIvN4Wlvtn4GQ/6gVUn57Pyz8OG4HW1YwsPx6PwSaVEKkNLoDcqJH
jbBfDxVXdjCluoVdHT0QMwsTjIm+YjKgisnpYUU941uZiWtKrS2mjrOODBsxq2dGad9pehGt29yo
17hyGdUaKtaMGPs4HVvbl0sdUx2buscIFjVpI3EeYSGS87LA4lZfhTmsVCVqMV8siqUO9ntRMWvM
5+eG8APEsYY7KCU+uRzAqDpxdp5CT+sUzyTwEPeclK4aYd4ltrkTgfoVsyydB8EyADPGLMbrwIHp
BdulBjbACIs7hAnipF4Zw3CWJtFVHeM7sZyNOXV3Ni1c5BLkc5p1z1mwHvy2FwOk2JYhQCJ5MokZ
HkFPjxL3hFs52r2iSXdKNNRe3SGPiywZnSEOCmksERg0G1lOdjg0fZUsBnYjT0/hfdo2uFi6JEKB
DqYQgo5q4hrg0MHBFtyW06Mm5Odaax4Ly/TJmDqDVOelQ3oso3FvFeZalDqzPNijcWG5qhNfkCCe
7iZ79st28s0sgHTzjWMfUpfwMA6ScyHq7jW2JGI0JtnV+wTXO4Nxs40I7QBuoJh7k7ThWKv5lRRS
M/RwdkHuV6hraTMoaAsUcVuW3SqUENoiQkRjsFZT6TRnF48E6HElux8qhPqIHPD2MDJX2DWzQKzR
TUO4z7HKgFXzslTaJMI+ncnqspwY/K6CUrGVWXRncuUSBXMQcWX057dh0UGmq/eFbXDq7TLpmFUQ
mqbMOtFDYqzQSzCqRFagVbHiCjnZRpU4k1qqhAwxjZb7JdJgHJ5I1nwL7YSwD/m4Nhng61tyxG8r
GdZeLp+ZRtP4Y6Dvk0i0KCECzJkqwW6toSi0z4JiIwYIN5wbtmDKWw8B5bYZOIVYJa4eKxh81BPK
J1vb71buN0+q9k4/qEbOlDhV2h/Ih6NrdMbY1x1Jxg7EMW3OFCqWj7eKd9K2bzvF2+u9K6dVwvmo
LlgZyvJFsb4O4+UCkQrvhL79+EKLyOpvexJ+LNhqSLGIQ152xjciOtF2Q53gwzzMCpF5VTy2y4Tu
2mjDcheVEvccyOWqiuHn0749sxcykpnQopyXAYDg77qtIr3Cw7wYC424Ma3/gpn1WMrWVcbxjarH
7Vp1mRHAFqOZmnfxA3DqWynKqsuwZ+phRBF2EqM/NWhOcrDwJ4W0A454m4LIg1tHda6qmXxvzTjp
tW4Xa+opcYg7o3KOhLOcNmzblpSepiqILUS2ECVcOFK3edX4cRbsRKWskmy08Rflj7M8GW4mwvt6
dJpbdaGmqa0WfvKt/tpv+XOjf/ulLjLRN18qcLcibgALHOzxIZqfJvtPf+k/bh2f/f13G4csZZyR
w3Q6xPZVlRBnp918clt8fFeY7+6/3MxTOSWy7GCo5zG9VL4mOZr+VE3+46dYvoWfPaPv3xI5TxxJ
FTCr72690WoFKhM+BVQ2tXvuRM6Z5CYerU9+DfXXe3xpThmkBNMvp/nF0VR5d6EpiQuMlBWssZXy
zKbmXWfrwJP8YRW7t6tidbsz3WH/dEnSzpfRf8z86Yknut1+pkJWlz7b+0/85rH+9kbf3BfOEDuV
E7KMEH7kya7sj1f9Jr+I1o5Pn7dZKxu+5zXg7pW8inzHqwZfPxTPn/y2v3sXb+/OdyLlLGjhrsEk
OdyNO9W3VoxTz63VER9D5G1uDXdvevnGOUTrcVtcGdtr1B2bccu6t5o3pbNqPVpnnuOBgNsWm/YY
raIRje8XfO4HqAAbY+fsylOxbW7y9dXHb30ZIf3tC3z71t+doCW1jbNKirkvV4RGrtuXal1dK17t
AnXyIg/eyDo/KTfnz3u/3yGSGN3kBMjNCamMLpuPzyjka+B++fhdLWbmj96V+W53iONyaCyTdxXt
nFXkztt8E1wTMZG6JVqdVbBq3GmFn/9Qb9UHGmn+x9dfbt/3dxUymR/P0bvVhqVGglk1jQd5Ln1L
iNNZShFHAb/++DrLqvLRdd6tOnZMwOowZ/AnGOcP4lket8J8mjS/Rk4vVeuPr/b7n/rHp3pfTEpI
HzWjTvpDZKVUfpdVePG/XeBdzQeBIjNNBtAH0FFqQh/QsbyPr/DJD2MtD+Kbxx2yuV2QFTQdyurQ
4oOu1Lu5tz/5VT77nt4tbq2CxXnA+MGYaSEwYO4eE/d/+xzvbrC+nNu+aAGPiGF0Y/OQp6M75+cf
X+STu8t6tyqZQShNNOfYDUYSUh3iG7MOdHXvYmV2E6EeBiTVH1/yt7+PgZZcYc6C0ezdJW0E60EV
d/1BR5uVrFMSfFJz8/E1fvvzvLnGu4cmCxFDgHMcDwZwfkm+yPNPugqfXeDdkjin+aglZT0cZBZt
mtGpln3yNX3bHz968N/dx1HM0CfIuI+pDVa1iyBkm55RIrgnjRv54bFf5acff2vvEk/+fjZYPvWb
R0eh/6d0asQedUdjuGBVPYNgQJjwo7Kfd8PqHDY//7AyfOScK/tCWl2SbsWufn5fn2snVO1wOAmk
WG2J89189vZ+u5G/XXLf3zlxI2Ql4KFTjstGLq3IINR3heKu0o3u3RarE3k1nb7KTxRnzc10Klbi
k9ULt+zHq/G7332QWsBhOE4PnQdIzoOBpwLfPc28S+dg7rVN790DSVsVdGzXzQYpgit9skJ/9has
d/uehKVNL0TVHaTTcoUMliiZr8Za8azT/mXcVn6+tzakKb7CO3XHTXoMveTlk/vk91vvz13i3X2S
EpMAJJhbs1mPa0iEq3g51e1S93rYjbsd4t7VfEDLdAslxsvX1cY6R4rm9X60A/X68JcR6B+PtNpy
MP7bo/LzcX9vNLMl5MaUyv2h9vWNCVTZG9fzet7DxFk9h7tgnbr2DrDxqtyPrnXjo1/kJ+o26foq
xrJEvq3/7Rv6z5q0jKB/tHi9Rwb1L0UXd9PhMX/5v/8H1vRTmX3t/i5mWl73fWqPxX0xHy0wcJMa
YWHB/DAn6QDEQbBiy9F0bPA84X9N7XWSIfALwRbXMPiBR2Vb+UvMRMiDLC+81J+Wpn8hZvp1ewL+
ai/TesdWaAcwvH/vmez6SZCHbohz5kAhALHpsmw/252++eTf3LAYM2UD04Rj0pBewnDfre0K2dBJ
krbVuSZwk7eMhlv8o5GmFtp5JDc10p3SHNOLuYxN+xBFkXWHuEeFiCIbkwvtcVShS1VuO5a7mp4Y
yAnf1GLmTQpa/llzpyk7DwzJy0ppN7XOVqrLq07GSjtFij/X1uUYt9tgqiFv0Q8qYtqJ8PpOCDM4
Snb6lE3poxSAuKmqXZIld8QLocSNo2PYtb6tZjsrYq6jjM0rsuRNxUDHyxAbbeJa710JJ+uCFdnW
A/LQnlwBIvtqrXX5eHehKe9kh0GiplQnxOG+ZK0TEaaur+jSvwSM1ulHVURQyvQO6rZZA7reB50l
PLtoCNQWKt1NS35aJq8avFpP0YvrQQlPAlW9aUaEOWrc3abQa9xoEs+tqZ9MelOs66Q6K6JRMEO1
gBnGgeEGZXPVxEWzsvSy88NJO8tD/L5dq11kAtj3PPR3UqLB/LJGn8FCzsykeyV7DuNErEJ7qUs4
CPqpJRrdr0hxWmVpnWxNmd45sv/QHZO+8ONKBRk02IyUq/lWyUuMT3ieyl66NIRERL2aXYvcAbZr
p/dS3eik+lY7BzDdIeuE4kZSetJKdAllpWacaYf7sHvm7LF2emTduVBdfawRV2fFbTAPuhvUNl6R
UDlp7L7xusHaMKl+psXEbjiR2GHpz3abR56dxK92jvI11O2Z5q1zHdbmqx4LF3HAS1zj71Fa+okq
KZUK3LgyzM8HtX1SkkR2m2UACfhgxxADM8/QrWPbZDCi4WfW2074uiQzryz6c4LRb4awb10p6+Bn
R81iO7sKx672Sioatwg0P9NpPg6I1+ZFWOXYyZUK2ZtIedTMznCbElKBcdp8TRLnwVDSJV4IB7YG
PYVRXpSeFTmBE2ESVy7ryk041VeFblSEVSJVySzLi8pIcLOOD0OSLb3xmlwowfdhWYBZzQA3PtK7
ISledEWY66GRb9IwQ2JMYtEogTsbQlC5lvTaSfa9ZE/EPaWRy1GJ7u4YlM7sW8QPqH6nTemu+ubj
FnrDmLni23AAQtTXRiiYHpg01ysnS29SWXN2xjwm56YmrutaRT5WveSEVcZplRH6VX1VuhpHGf4S
v+8wwqSC8IAmTm6hKHmZGWSI/b8Ujj9upmhK9nmJ1FySLps+cRaRIGIPL4D95A30mSVrLL3GAU7c
Zug/cGO4oVbhkdfOdIIPkFFyXLDIwebZXLKtDm1p3UW28RLLY71iWQMkBFEop08/RNMpStRHDiGn
oosJDuvvQ7DSy5pz2RSKT9zWZaloO6FIl9NkeaYUflFT1CO2gSlTPnVEeI6x+nzKo7O57dYAkVwS
Gb+is2aGbSVeiuLIzwPJTYnBstqGMEsMOk01HCxI7k0N50ebZw+Do8DgySgjsSVsVtJx6poveeyk
fqC2Ly05m2o93krti9FzJw6mtdb0xMrdAHR8vnICgf406SdJ8uVhsr5YIWkpdd2obhKSembYVVcd
Uk27y0udRK2ZsMqhCGEMJqxbq7TUq2mVG7O26aayAUWMpNLW8i8pM8WmE3dCZF/aWrqX80a7kHtj
PmfDq9dNVj/WqrKLGu3rGNjHeqbwypzQK3IMKAbSKC+uB86MSRav8zl3rvXcns7CPLqKw/AJo6Dk
ihS5SIPGG51oh32/wCKmd9F9ofIriuiavkjiOZp00g/tXa+UMw4hYMrBgmQgdYbmfsze4zopawCZ
5qbX9tV8lDpbujYT3FbT5Ag/bAj55ClvbwOn7T29s/ItT7Pt1Vnn6eaAtEDpxAZTSUnWRjltRCFH
CDVJtwg7zHa4Z4ytAE+5QFzP4UVetnq06Mo3UI/RlkoBCbOotmZTuUYle9co41VoNOYOXMpduUi/
mL4EhzdnkfM/t9e3VJmlPHi36UKpsJcdF56wsSDw3lY3JugjQDR1f17aAicJMTnXJu/aQOhLZ/zj
a/16iuCYsoi0TUVj/I9mG1jAr9dq25KQcdGKczvwg/RLPTFC/vK/XWJ5C2+KNZHVWSb6TJxXPJhk
HK2i4UGvrv4/LuKgEbc4sSnqN/HBm4u0EXjPBNr1udZc15yeJQJYdx9f4u8/y4I6+nmJd32OhdgV
IsAT57p9ldfrOSdSRYCxekymT670rtnx54/y5krLO3nzYYBUG7nZ8WFq6jalwGWqnvQ5ngd/yE9m
CqmPP9jyxn+93xRI2CpIQxl+LpqoXy/XhQk6uk4RiJfvlGVKBl0wOp3yu2+X+a/WUCjz/rnW2OXV
SxM/Zr+pNXjd91pDoaBY2CfOX+YInsPvtYZiQik2FYvF4FtcLK/6rhCmQEEBLHP454UWYOEftYam
/mHCL7bBbFEl0Iz4VwphhmW/3CNoKSBeIkfFFUx8BE/Bu3XCiuqmGEn+Ohu1iqRKBTqhdVZZQKle
ZeSpBkctQr3Z3TWM1PMWyWYqCo7LCSuYqaeXgYq9ySZ+ddsogzWtNFN9DmW8WKUTPELAukqDND+f
UihI9Wyqa81QQs67cntWmuZrVNnsuGjNeBraeI1rFTh5S/RnZwqLdEnF2M9YjHZSkXUc97H3Tu7I
xNxNCP86wIfDaY5rD8t5euqYceG1lZjWjcFptqtRQGTQpVxgVpjoAT5AKpxOUiPe22UHPj0GlZdK
DmYofCE2Z2sThF9qTOvRsSIEDmzDNWc8V0mJcqhHdsTaRgYg69J9xupdmWNxYkX9tWKigQtyrG1Y
6Co3dCbp0CTmsyjY6OvSUjYQiF/nJHnAJ9fmK31QcpQSZARVejLdYA8NvLqJ6HRpmAGi5KULZ/We
Yy/SH2AO68HMas9qM9JmEf5D33MK53SQAsU3hSyd6NUo7w2ks5sY0BWZAWAoG8u6sJH6XlEJ7UQ0
XUsVabelXugb2S4vLBOfL3AuQn5kHRB1SRU3p1gWdRlN8zil0l6JUP9ZUxMZSApCGAWylp52waR0
mzCXJo7Jc9OYzTHitxtUsBVnE/ISiAihEuCxT/hLjktuHkE6tlMDasD0YOyqblKvJRSA8U4d0vmk
GQrnGA8TmpNytvESkg+uBUcHWyG2vtR5HRQn3asQFhBEzFfAoJXR+2/1+mZyWNoaH6xexfSbnJrl
NT9WLuMPkwgYKHg/Emd+rFyk0Tgy0npbRjtHC/3nymWx3OEQI9ZFY8/Bi/Vz5TJIbaPf8BfK919b
vn7tAYIaJIVbW94DOcVwe7V3m6mGkADxr9UxlzCjdVlmsTeWObXkxaQOM67Z2ImC2fT1aJAj5gpD
KnyD7rLil5o6FUgNpljLTms7rqcjchi0eyu7F0vYijKiPuJ4nUUa0WJUdzwZehaTuyQFyaB6UuCU
BTkFZq+fW33vNIVnydVAzLthiBY1FSqb9tGaCWqeV51JujNu2vFbfIACGWOTtJVzFtVyhG69MVe1
EPpNXRJ3htprVRNQgOAxTWgt1GI4jSdwF3BXkDtkaX9J1JV4kgvDqHaoa8OnQW9GcjDkfMnIKCll
y+CQSPBJBymJ4IMoMJtsoU0XiqUGOxze4iwtyLRUkqHDkVC9lgJ6DN5htXm0Y9xOWYe12I0wqO8i
I+muVVFjRY4K49meM2czRJmgAwDGsJzjTSbp2qU9y5k/LhCWrJdHHfUSRi6j6yB7mDI9WnmZsgBu
XOuVUpHx1uaKoP1CXN48dNs6kEnYUiq4hY4TqQ/aXM3n0Uz0xSpVe/UppUY87es23E24ru40o9WQ
DquAAhiqe7Od98e+T5/5SosdaUXKldLGcuYmMpAzXUBRQKgeHVBghl44GfHBiNt24zhZ4yezYx9m
5Ge4H0idcSai8CL8Y884kLO9IYL2S5+X/bp1kgJ4eKxiKFEyqChRm64nJ6CtMtbmBQ0Bac3a155r
sVZ5mILLU7gCw2nbpifY80nwsSXQucY0vgo9yrZ2lYcnYxnrvLfEks5i8M6AJVv4jOUEpARdGPL5
CSh0FQIu0QV30YijZkSe5QQnWSOZX2hr3JZypO5Vya6OvP1gLaXQB9tShV/QNPKRuBBYfESo7cIY
/VspdQnldjVdRo0tvKEVpPfE/egT6RSs27ptw/9W1j/dtArd0n9eWU9fmt+YaZfX/FhZLc5wJuwy
04ID8G35/L6ygkKHbkqEJcYtU8NA9nNlZfn81hRmakllZy194e9mWp2VFaaWbBkGkpolUuxf9J+/
zad/lg2Lbob6VKEDjRENPNb7+Y6lVKGsRDP61NZqV+kQg/K18dN4Vq07G2uwH8H1inVdGRAiCSzU
pZO8tXtgLFasJvexCrTlGAVlX+9wT1ZkTqGKl/1KMnrrvKLVJs4ZHx0qIoKuoSyoiCdI2V0n7dxy
aImSBy0zWMQLcv8q5J6KH1KPYy0pliVe1edo3X27W+tFtLzTAylP8GV1VtbeY/dKaMmM2awCbNB6
s43btVqMsXKS52Iur8KZww1d4iChXQbXcuNoIV5bCzLEOHSm15Qi2UjpVPsCNvhmSE3FF2M9b+TU
bL6Qx9CTL+VM5uxrbY8MdlKdeSR8GGQEp+ZAwgmqVxKEm2o2z/qpjeAkq6V5FZtmQxC9VYGQwKy8
Uaoo7a4Y2jaOb+pVdhxJU1M3tcV/n8K2vJuF7hAEUoc4gpA0l9YOnJUm+/8dfr4dfowPS7druurM
jP5euS0v+/6Uqku8DD0HKMO6yiNB9fzjKdX+MFWOHAyKqO1+PKKMiHhkHQs7AdGPy+nn5yPq/MH/
zpZDSfdXMO2/eUTfzW94RuFw4KuXcc/znFLD/VraS0XOEaVu8/NCwYx41qp9QHWwhO4ZK21anqlx
HPBGZ1b1TN7zw1wSHgVE6IoANMS61tM0wHet+nDbBDmPMsThzjYyr9etg9yRMCfBb8DqwliEBjPO
snCioYnbaxVVIeTgIHWHIercJCiP7dR9lUywbIYjvnL3l35Eklrv4MoGa3M66ovE3knOFsZKI5f0
YXneD1BSSYwL+DeqjK9S2ZUQZpqnAcwHdpJpI6v2kzQq60h0GHvGcGtx1CvmFPMcRpqVUYt7YUs3
Gex0N0mVK83o7kJ6bxuHzXajaJp5DDk6+bqCrLk3Uvr+U/hIx52UWJTnK/zyF3GsHksoHIBVVSxy
1oIwii9Gld1YNl70Lt9gzX9s9fhUV+G0NjDURls9xQDH/9vZ5nJz12vxrhx7E75JeFe25t3C/BMl
VaL23DrOc6O2x2aOb41yfE51O/dUTZ49WAvnEm921TClykFkrJKOUcwM/hhee3zVxtqhr6TDrNUB
JxlSUCY10/jQdr5LaPuvOMhGeF31c8kQnGFZkFeGFJFpTZhYEpnhJpF6EyF4xjGzh9jRjjeERADJ
rJuVY3UndkmMnuzkxwq/B16t2t41VaGSLyY2NiwO6EfYDqsps6EhR42XyKQIm0PAHKpXF2cc/2pN
6rYhJDiwrXUW9+em3BPPw8Fakpx60+gFBBnq6jBNd6oBMHvsoL9xmCEPT252uWTg+lSlYMODFriC
JF96gIwaZ4YeXfOUSM0lUUDnIpR3YWKNrqkmGz0p4f6Dxl+88els3nRE88n5/2PvTJbjRrJt+yvX
3hwy9M3gDS4CiD7Yt5rASIpEDzh6OL7+Lagqs1RZlc8s5zmVRIpNhOP4PnuvHT918HZtVUe1X1iM
WQPw+7HxErJVywuQLRHEujhGjngmj9hRdjY9Kl4vgK/FRbgUShMaY34vFdINBmtN0Ff1V9kp5Sat
xcWU3nVuki3t4f75bj2dh3mcwtmd62uH5BDvldYNsjrVN1Hu7YFBDthx2vmtj+iZUTsRQQfq1nVV
RnCQ2En6SHqi4BWYUoesNWSTx2Hj9k6/q7oec8vUiv2s6dHGqNUT5YoXs1KWoMxSIwDdcMsulEBe
1SyBo5dXLIkqX1Iuv0kNmqMpFjlEc/2Wzysmy1DvTeOoyK9cZdOqxO1dDQTZkHMWsAMMXbMm1+l8
gbblWeOYX+2ivnqdd1an4kpIea8jX/lWpyShLbF7yrK5S2j2LswVYCYPbr0cwYsTfdRmSo9mqqvc
zty0rvzSu/Z7rLCkqftbvJuXnsK2LSJFsOTzxfBwlIHQoiq4mnQ/G3LVH7yETqm+/xJrBWUxT/QE
z85b2rTfuaGqfleTM9FrFkLz5Nqgd2Tmd5bishExXzh1G1hXLcuFwv7o6e0mvkNQhAP51CntvIu7
Ydgmy3jsIzZ7kKvv7GR+y1KLTamZMzE3XRGKuNc2nYlVs7QDGIgQ/pL5vrcaeN9ZFRYzUldDhiis
KqvlTVfzlnDtCzSxLKzn6KouqE02hwiLhxLfR3SD18K79yJqGWbpbuzKAygmC2CMAB9jrdnGvVu8
tBP1JtE0nhUVjAhBFN7YVvYM1bj37XHKtxyr5ibWk/e5qm2Srel2nKojB/qdNOtx37CMD3gA3AqT
VF0KS3tECt4lKtWgY2eYvgXvO3KrYxLZJlut4twl4y3lVhWEMrIMJJ8IUbRaSLkKHzuO95aduful
Gt67mpYXT7SRr1d6srGzRgGmpnwxwfK8SNqUsirlFqXhnTVi7DcFJYosjJRNMUPDAORWXamNt8I5
EKDdMtr0LiWcpZwpMdPZsVDHR6ETZ7YlKpUMtdpvEbzeBy99rgUvpCmivqKPQYjwK2cZz/1sAncP
31qNt7gn+JmOqX2AvL73YrPEW2DCmq+tgp/S+JhI6EE8Ezd95oLKtjooZY4Ff16RvNxcJw+4k/KK
pbntLJRlCnIzu0jKLcl3AESP1Wnyldx+tHq5W1tcrdq6yWLxOWt8us7MXmwbpP/UUqZmD9VZYwa8
cqzlwvMfrR3EiKppB0rIW5QGfS3NUuuXpsiKQ7c0j4bOG7+ojGdFmtcYXH5MTUGjSvbIw16lZ7UD
lwiRv0vjaydtHrwl3xsK7YROQpEKidfBlyZ9WpYBBwR6eD2arNdbMPO643yATVNIZSOioSosW1m7
d1pUNqG1poYqgAGhEOTIx2KIDmor32wMXfw+R32b5+7DXGG9dSPlyMrvrc2cgKJ7BIJM7Oqm5uMd
cVPnMLZoNYhDUuQfIpuJ6PXpKwwTQlaNfaMO9lNt2rtIFPN+iY2vTJ0czlhtQAgktefORNZsh3au
3qYxFwAkL79M630tleQaFu3V7sYriO84SgS/2JZi3SCB8xpkjpw2tpK9Qdm95OR4Nz34uQ1Oj1M6
soU3+3YnF0wgg2Flm0HN91kMZhATM8+7Hu9Go4OGq+lgD6Fz/EhiomKNC+B+ZLre1OU40rgmN3W+
rKeq/VyyG6LmHLdG2SgPSTs9th6Mhir1NvVUnIeOiHg8uD38n7rhdpLc9za9uBFmg2F1HZSq92hi
Q4hxdGyM1ZlQwtZjE8n7CZjFdo6VItAxMihMTrwh8TZMmBwEZoeZkE28uh9UbBCNTTgGreJzEiO0
OvvLVpUHxcA54aweitzLv5zVVaEX+seIzcLjSQ43zvroMGCgW7dBhSUjqowq8FaXxmznz3FZdhtQ
APrGxcqRKeU2jt5VDB4MBqYPuKb2tSE7CqvV1mRzdqWn9SFaHSIuVpGYMgtqnLIHjb4mX2AncUrP
9nUMJiZwvpmZC6VkQYkXdRU2qx9FktJGYsej0qxuFXf1rdQYWFyMLK4ra7qf8QbwvvuyV7cLrxnk
idzYqhhhxMhbN2m122L1yPBauBh22oeVxf2IhO29vTpqCCdTvrq6bFhrXObVd9NiwNHc/iNbHTka
1pxm9ehAGnhcYMXOsnjQVxfPhJ2ndtR3rO6rXlYBTls9PxTInQUmoGp1A6myAyC/OoR6O/v0mI2T
kS53gYloKSEfrq4iKnsPOjajNIPBhPNIrBakjinPyTn6KNFGWvMmZ8ddli8S7xI83i8EpYYzeH41
Sma+1eqU4nkiOHcgBxckefUW4YnK+uHaxCNVrmapGNcU5DmelEazB9FxN+Ormi1yzBFOqxnHlTC9
g4cDCwroDcnIjVytWdJIwgSvVtqO5xbVf8CzUlgqdYJdBhKu+enxKqrFfpE/nV+NYo35bWH1YoSa
aG8GSyh/t+b9QybSUaT/XCa6+hzffrz95xV0/ajfr6CrsdCAg0BrDm7FNSn8+xVU+4buzXBmruQ1
h/q735eH3jd2eYTNbdZ6IIlWTf83oQhckWqR+KMGEWchV9e/cAllIfmH3aFFcpB6VaiLtsp/+Ecj
fcSLx7CiVF6n1Y0hnX6jRxIsT+89zos+8XahIdLTqzO68R2upXcqWBRGowWqccJtRkIX9p3eO3a5
d80Ku97Miv3u4acqBu8JuMUj1OGvgStRozCTp57zWohSMGLa+oaCXq6I5RmA0LQZo9HjOmBcTWqT
bApbNX1KYp7s2F6I39psF6MGVEfEjVa3XmC7PMVyeVcYiv4xsTfDY572N61nEq1D9lE9nAD5/FjX
MxUDYw/Ykn0CAPeT5mYMg9W4Leea73kJMtfg+TEcBpc4F4U3sOeqbZUoz4BKNxRD+HBerwo33i4r
JJvWN+wYVYcFcqLwIqXL2C3cddcIAkj7Qe35dZdDo43ZSdwvHEvpGBkbTXQc/QxNVmZgbUEvooGL
GLenWK/lktMlzTYxnFG9j9A/oMBOWhcoc7SjACYL3GkMCtOzAg/jmDt5C9I77dYSivLSWk94PZsc
wExr3nvOEPek4GEPryyYrlsetWla6EJxAV9DjemhjRYZbWxXs4wzQvdJXJgBiwD2nAxRrg05uePq
vj70p9GGn8EYmMVoa6o5bpyFvpXI0h5Nh2dY6ZifIrMuhUrwfqTsh3ZPoAUdLxxIEI99VX1Pi0/4
O8eG4iLfMrsDxSinuXUyBtGKvhJVCZNcrESW8eKpsGFzaZxoX32WJnw/wblbWvKtobj1EeL9XVya
dxpVdpOYDgT9d3OWRfvUigxfSaM9eft6EzfGSQ655nuKcA5SkSjupfukjK3r242ynTx9p6bIKmtL
uRtNh8XjIafWwsYuxIN1VPrN2IhdmmKwZF1+U+nR1hjAHbA88Nt2eFqK4rmw9C9orozeWfPCOvZc
RfkjsKHXuGxvoGHS0d67tNgvL13LAU/j7Z59u7MpwE1Xc38sB4dXc7a8jAD9Kq1562Ua4vM90eoO
b0G8Aozvg8iYIJWqgD+LdgX4t48JugfPaZA7qkNuFny3WPCS9c5rQ+Ub6ot9aYVztyQsiY3oWeNS
uaMIdlMOw3cY0Xc6Re0OXTKGaV3PQmVOsxf9nLkj5Y52BT1vvNKNeJtXP3JW78MI+KhbmdbpBMQa
NB+TvrxJbStwVQjv8PcY5J2ObBQbs8jW30rghZih8n6jQiEHVqH74ygf7AVpaK4LB06i80AXJ+OC
+rq4yaXw5lsD15kGud/3Gu8HrQf70nN5GTnNAeQ3L8DooYCQFaL3fhLFEbyhtAdexi9OT6eVFsHL
T+3bzjN+eItkI6RMN3UEbr/sNJyssY53M4IQU9iJR6a51fDIzQV2Bu8up2ERZJNoDtGYqCGMWlox
be99jvq3vGhuIg2iRuRYUdBN9A2VsvHCNrNOghvyzWK4YKbqpLqNyGHfi0oDjG7oaCWAuev6bCzx
u1Zpx6EY5L6MPCXscx3JDApUJ6gPQJeptnQrfsLDX8KB9kF6HjFuUnDlYf3F0MxeF+eixUQcme15
0ZwTm0/Q+Hj/kv6updaL8co42It5RZ7jVJd8l2neBFRLqL61KGYgY6btpESZcMy/N0P/3AwhBv/5
I//8ln/+5wN/zV39/sDXvxmU2rGVdeHp8Oz+5YFvfGNTpGPVZ+uNtYa/+s0txAOfhznqgMNfqj8V
6d8e+O43m5U7axxHsw140X+p7dz4Qz4L2dmxLchF7P35flUIhv8uO+OT4ZbUVNZ1PhbxSYnLJrqf
57xCMtHTfDcxrHDpoOMNXkAQp0VxMFt83Cs4a59TknoopY7fbVJx3WSFq27nVcYxnbWhGwq4azFB
T1na+jkQOMXj8fDzoTEXKjySmJsWbRfe4vJWhtsxSipXUFkW4KBJfKrm6ZRVxVZxR0hyejbcUQOH
zWS2vxezV9FVnYCag7pdqPV+wX886fFdo1VDoNo8yDsds3RVtvt+0a7QwD5pYLlNDfd6QRvFznmf
wpVS6u5FiV1xqqL61CQ05iVmegAV+FJQKesqyX2pW49x6s4+ZivYVbkh2EfHr+yDD4YrwkyNXikL
eAPlQxnn2JCp7seJkjxOI/A6cBCQp1qOYa4D3qmhttzPWx2YanHVAMiGSB5fmtJ8a5P+ul+qr34F
M3h9vVlq1AoZiWPp5M6mrPu95bmBis/Q03TYqksVh7lOEkIYWmA48rhEyovbJrdyMukf7DOuqxW0
aqdbQk8mKPdrkYMWcS+c6j268WvOPo5NN7who122sSworhPJR0e3+UYKzQoqTe5sEESEH41d6epX
lTD1YOoLEtpt+ySixAyN9muwpbq3c9sLMQphvrLsgC3plzIjgxGJuW6KgXb6FHv06DQPbuvSIgNJ
Jrdarn7dngZ2enLHepP1wtlYccWoosbyu6yWoxubPxz8AStbzdtgPX41W3Gkyeb7rC63DQ5jDESv
k6DcoO2TL6c04ZBMuReKLrsqHbnPu5lmdlMjejpMn7PLTR+Bg3uniLeZPnxIBAAfvXrrjPmHZIla
Q8CnD0FHsHkfWdeccYD8vF6Cae3J3RTBtMJb+f5pdZGrah1ZKXTXEUwxEXzXod+l5DQIVN3BTd9E
fHC+/sQXiLJ+GlGkRfxp69GxKv0oh11XiSTZy1G9Xngz3Eoqbne54k6of52FNKofDSMzNkDwfaPh
YxaKiq8ZwdCJZrUODV5tLB0aRLRck1BnjXQ+EC1gTm3q9Oi688KG15pCygh69DRUPXUct9DfPlw1
vqZkAme0rl0Meolhx3i3gJfjoCuyq8YWUDu1Z4w08r7VlPy10jJw+E2JLwLXlha1InSph/db28jh
vkMWMPvenyvgTwa2GN8lerUrdaiVTkUtoDaBzCpNk84+8AOOIi+5znzpEYoYsMuBpiMtoKfdezsw
AtDXA4SkPdABbPiALo+KCzhEi5mua5FpK5a//a6zwUZyxn1NRTwzW8rYUyUOnQ00Em9BcFH30y+Q
fzT9JSvLaOt1/NupndwdqhmnUg47qi6ZRzolU9kONygk+vr7jRgG6A0/sXPYFdN0lfKO2kz0hWas
mZKJ71pVyEjG9UmTMH5KyBq1B8s9W1pMJR7okmTFA7oDvyHC3AKDCTVTcltWcCKsFLJeRoELpTcn
N0ZDmYS6S638FdT/blC6e2avkda5lomEosFKyy/d0LJKGspkQ00GOpzY20P3FRsRczwPj0AgO/Hv
SCsBkSwfyi4rzijwTKwrmNNMvbCsIYnFjbrHBPQs7YpCTXEaIvdzrnWNiEh57PMJfUabdw6dLX8v
pn8uplf4x59PCDfF28dn+58zwvpRv88Iqyigwzi3KTRcn/e/zAhkFLHcmQbzgcVTn8fzv2YEcCvG
2s3rWXB8NT7qXzOCo2kWuGF4lKyvMRv/FVXgD3izdUaAuUI0HJEBu765zjC/mtx5KvO+Np0JmO2Y
o8fmz/Uo75x6pHPMi69Lrck+qKeoWCAZD0ZPM81oKNG960xfVDBt6W0z/cWAbxYDIKc12/VLhy0d
ZJ33Ns61zVw4rT8O1Z3pFTFX9ToCDRVd3LKogkQ472xk7+1xeU7K3t7oRY/kLNA766TcY+Q9GgIL
bukkTBxetV0K/Z7/i6cU0nQ7DQiogwQc5A7ZBvPgBZL3o2mD/GW9+yPrcJS1VA6a83XCowhrL6Vd
o7zVE1XdmnAyyHGMq25bhy57RN/RCXmVkEe5SQD7bTZGM2QH1B7WBhQmaAm7dx7eHX1DvRsOUhih
kUc7O//JfCu9fSTMB7bNjDpeMBhGOFBW4tNEnhK8k4dFo9ilrxJ2rOryZHk/aKGH3ztfcNgdnbF/
GVRK2kSGG49znhJ3iQJij/D5rFl+jmp9GDVn6xhENzw1eYo11EO255vCLUhccZjE6bLPdOcaPPvV
OtXFdftUK9b7MMiTU+cYZeAEU5rbdNphiPJbXdLyxAP9zuUnFKVO7Ct1u52K4qo1vTs7Vd/zeVF5
XntcpFSQt54zPZa6+Zq5QO8FS5d+rMytGLSOok7nRAv5g7Iu1exFfUoJz/lTlZ0WI3oUM/Zv7i1x
m4OmoW/TVJLv86g8CGM4z8l813v2VrWVl0HJPgoGSd8C47ZpRez4S1G7IVjQL4cNpzrQUoOv6cKv
6Tyx7GjAwkXmlybgMup8O9OwbIVTd2j76X2dEK9ct0lqTKwxwzHaVvV3A+a+QTH6ppLzmzlMvL40
6pAIc+YoG/VZG4sfEa9IrzXIKur1jnLAI2MQbvr+x6iQXtMTY2Vv7eIUKwAyyQ0oLJYh+TgHPGTp
3lFkFigJFBHJFMniPn/Ken5ICzIQvUI8+c1Sv+ttEXqipFCrxEbEKpmVdzzFV/pQP83da9EcDN5z
r6C4gEtysCdxnvpLbz7WjVwHwdY7RDmedXbE884ccZSoA6vHodFgKgwJF0RFfFnZ1HvnSWt6Lq9J
lMmwR9FfHsefqpE1UkxEBivKzXuSlWgwSmw8peztMWIM9xTFEkNEh5oJSAbeqky5COWMPjv23IhW
JHWCfmqLYypMJyxHTO5iMl7r0cpCej8hGie8pKupt8EPUaxHteNGSWmJc7353hVoZHWSXM/J8kNH
U0ub2A1SVDYVtW0Ashwu9CCGle0mQY4mRzbzajZNNhTpZlHd5xTtjtxhxGDGeqoHOoa611L8WKD2
YXHY0nnUbxZ0QNaTYFxRBs2kiq8KtMLcxOUlDW3HwvOqy1ByUBU9/AAtfMZNHE3vRIGf6ppEn+rw
2EWRzAoD4ayB9m1P6ZOVsFBASks2rqFRw42kWa3iZp4U7ONpo0Tp3cwpfRFNb72KVRLVGyVsjfxL
opWKzHkSTco22nynHYZuq9K5tlFX7aFWgQQnTFkIgz77VGVtZn5X5+wOBuuZXx4ybbYADc+dRxZg
EKMLo9+AAExCVmOBvaoBiMBwHhAI6p43k+St5yAddIlOGQOzB/POXYa4MCAyYKQ5RUN/zlf1AbtU
7xcTa5JoLJlJ05LlrEPqwwR5TTKt/1SwGm5rr4GHyOLXF0K9qlbFg+0kjZSIIEscvSmyPCeII8qq
kmizpNEN3USKeaaMYdqzLCbILOlScuLmY6JB3Vdaoh/IGo8Eg0+JEB/pgkId62rJghPgfKVT2E4r
XCT4bRROxLCU0wEeuRwb08EpcW1E9kCElqeD6D88HSRrVxa81roSl7hfAI9vj62qSZQUdlKhaXvd
tov6zvuul13v/IMb+nfKah1F/nwiOr913ed/89PyUb9NRLQweOsKwtANncvHvzn1sOStf8zKg3jT
r35azHqILGtJrQrxgUGKOeW3icj7RpmDzWdEOoGwxd7lL0xEeAL/uCexNL4wy1oXOapJ580fJqLB
mxVR29O1nIzOCZMxyggsO/RLxTJFUdejU7/klAtIcMD5kzZosGyxAaf9QSwgGOfRXvJzRy52CbNZ
75cQYnVVg8WpDNv6mMlKsQfEprGEmCW49JEq2M+g0b0vTy21/l52HTvMPnVMXtRyWbygEPW06vfK
allt7FhnT9vmE8/CBTYx9oUBN09Y6qwzQ9PRKJ1Zq8LwtufajqU6/pJ2jE3rsdCUxGaEaA/YfrmC
VbbZ74Uyyv1syCH7mgx33sYZCYEwjjOSlYbn8eChhvDI+qV4T+mrCbyYtLYvhRxDpSAPMZbYCNgD
UVZa8nwbiWS8jysAdllKAs+qxI5gNbG5s2TyZU+K6ZeV+4X2w0leAk51BH9HvzmHwDjQVeXU0ymJ
aaJz12tmnJa6T5yMgvVWqd5VB7eDTnkCpbBkkjjuFdwha0pNk6m6d1sTZSaihEpzV+v/UsdH0SrF
jSmLBJuS5u1cUX3mDvh5ozBgaSajucOOloZqV9kIWQ68XWsobnIVOwAPB3KF+HTKpplCV6nRtFzj
M6E6a2+1OS+Lkc1YGZtU/dbMKoww7yKP4r29FMMGvQFjT9t+OROYTKEjGjklUlgwtTEUmV5nr1yX
3dGz1CzQlSS78DUzxtV2fcyncZMOGaYwhwHbciZ563mRtZu8uoSxy9OdOmLqFVvTZeaBp1otLV+m
a7wUVY4y3WQxGwyMWJhjgKA7heSxOTb+QIx6HWiaW7gHhMfiqb91WC/7i9QamB0SJgGhhGK7qN4c
diPFHZ05i3DWnIEDtcMrMVf5Xita8tlRVu7/vkj+vEga/98QAh02/+N/YnL+LyGv9SN/OzrJG6w1
2GTEdQJdPw/BXzbMNsY6Hdvyerr+GvKyv60LZCIKaxG34SBg/3ZyEmnlAskf2RqR0vUo/AsnJ7TO
P56c0KXXvINFywzram/9+18C01jsLfwHroKvqsw2BRcW3op+Vdh0OmtEI3M0O6UzjQ2LiluSqwhr
KbUXU0OptqQHm2UlBVk0PgoyCBtk9drXJ0ncsnGngBzQ+1TOT3U2fxdqc5GDcVgc2z2LknAQaHU/
EsZj7LW7UiuzIO6Lu/kn77gxPmwtRZ6kSmEFtHuqQuGeC6aeuptndXa+5rXDMJsEcjCSK8cnTblM
WYPCtqb0mhdzEEOQaiKg9GXaYiojYEqIqGrywYfNs5vWDkUTq6LfDeUx+VmwaK1diwvWQCWAVvNd
FGsVY/azlpFjaO1orLu+fhjg+grWyZoZBx4ncl1P3lZopA/GTtJXqw7c16A3jlgv/VzJboZM4mqp
CkRjt8Axlf3oHeczUkknRSnqstFfFeOjDpODyR0T0+QNHKyyvndm2l60Uv+eFbhbAevqoZy1cYMv
8mRHXXds1Oq90RPKEaoiAenNDYxj1S5N/bbJMQQjvVnBJPMHlT6T3Bmk383MYCyLXyqcqTwF6mux
zPWZbkq5URwvrBycAjEFDUV91Wk0bbfJtvCc42xFLyQWuR/khjzUdrYdKlM90PeKIsb3japGmjey
a5opC7wwfD3Pbgw/ZOSSGgp+fL6rwfyIJqO8jlz1gSswO34BVQOE0snEcsOycmrSp7xT9CIEbm3b
Ia7Ey6LLW7XDM6Ta0FjoN3HDVqj3MaoATiks3a1x3cQedTP6vunsWwJfh6hYdvk47BN16YKxjx96
t7wGNLPTZ32taANhQ0duNwk/ySwSLmX2TIbtgRjbbprcp1JZuKe33X4e4gfw9+d2Su/bcnjBF7SH
lENJY5GIjd2g3y1UgmBWtrYM5fqWTouzDVz9xK+cR82QfeLc88eWr02RsRVipLTY5ET+vDi0FFnf
9bbErqByIRqKC3P4HZR5cZBWH58NhYafYXqvlC4su4d2gNPNDvY2TrJAdCMMeeK9tvaketmEOTrb
EevepzKDrGQYl7TLv5cDdQSUB29JBbP5wKSNzJ4SnrQXXqHTmxdpdaiWU7DYC86O8Trhiqbr06nu
FFguM72p1rshVBsofHa/xMn1pJnPTUv5j6U9FY2qhaout01Fs3SaK1eR6u2ysroaEFv8xKvex4iN
ujFRuRnjWzHG4lQU/DPNO+Hh7rFTlgfU1vPYVyf+5RLOs2HgsLB6P3enQt/iJpNIE4Qx7hKVXBbd
DvFrtvqDrQw1yVK/uCru83R87bwJ88AYSpcvwXC/9251odteIe/XB9gxNn1v4KUXL9KBpa6XmM2p
QT27+nDnag0Q7JllftsaL+nQHqauxcM60gzsmvR0xwfHMW71yks3chkvFsGOzWxVu6hq3YOHlZzO
ANrn8udMz89E8x+dSqg+jYB3fWIGuiAiUDUnphOgVSY8Kn4XTCgfZrmactpLOurXc1EOh1gikVHv
sy/0Bp1bv+NFcqwH9IKk7a+7CO4+5lReVeNLqTcBNoJiO3Yq3JTppHjaSTFUrq6TcjCluVfbNaXY
HMpl2k8jUgADLoUou75YbvsxBzxUNgjjLf2+vGTdEjWlKx4jtfqeT+m12ViHvjU/OxPIUm0fNCN5
Grv03nK7B5jnBZbnaDtayYGw2nuuioNW0uS+sH8EGHOWfXWsFp13mDZdEtqVU2q45sK4R09kYSGx
C9WNuslsFREk3VZCXFPOekod9+vv2eQfIjc3nD+/0l1TmxD/l0X4am/7bS7RHDh8hs5nc9x/cvh+
m0s09xteKItaPdu1LG7V/xK5jW/QXFdIH+UaGvsd/uq3wcSgb9Rer4B8WsvBT/dXBhMYOn8YTBwW
sXx+ZiZvHU3cP4jcjc3lYHLU6NJ6WhIaS5Gzbxy86KTMjXqqnI6bhKLKgQKn5JhG8hUbMexSJ/sw
RksLlMmanL2dFKRqGoOGClU0jMS0iMUbgoD1U9yOtmTeVzt89LhMfG4zto5qTCeFWUTpJynjiL1j
Za37HLahFYitCpsQDI00a8K+6PSVLW6OWwRNzz5KR/F8L+cRS7kkZrlUAMXOSFD6M/cJxY1JbOfo
v4DpRj/R8dK42EXt9ZKjGJm3LUasXBR/SN7t8bEY4F8s9amjZG9ZplvNWOj0Qa82lLNJtzTVCIc5
jZaNZVMNtWiKtam7cQh0KExQL+h/E8pNhoRzJyL31IsET1eMGw9srnauOohWujLlobS5KLfc5Iie
Dtdz310rOT7cKeYaIk2GKoabMImBGODQ6RVBBEa2X7nR36eFeg97paS6pOirG6XJl4th5tuyEdtY
2MkLG4iN07ubiHK8y2gWsW/UbIQ7iIsI0TF1IfS9eQOmOaO8V2xr2gqXbaFDD07QtuWuavh2RWH7
3Mfp5GJuDHStSq7HeMJVxrjJmrjb9rNS39moRZ69FmxIamo8areEjsM3VS7aYkD3oO1QDsJ87EjA
4+RJfdqSUKEo6+FSX27mYeE5LhzxakXDWoCmeGgCFS0wm47yrN0vb8X/wqhidv+VGfSzNAo2lQ1b
BrnC/SPUPFOTSaUnDK83bT5bo5j0t0Tyc2JMq/5Zd/G3pKVxT/nz8+9cd//zv5yAxWfHgfeTXnr4
8X//zz8dRHzoL4cge7zV4UtFlaGu/tpfDkEPLodlOj99wavH97dNn/mNQChnI+lQfDqr5ef3Q1D/
xlJOQ/LCdOq4FsrbX7id/fsrZfUU4T9eTUqOQ9IGH/C/380y12E5XnnZFT67xeJykOzM5vmXH8x/
eTXqLt/IL6/Hf/wvsImgtPLg5kjnZ/DrDbCJMBFZi5Vd9XWWFkHtqrwMPUqNuXnpeZgZDEM1Toyz
s54fw3qSFEt0GjHL3KkiuS1Sd6dbSXqeVBWnz3oSaS7RVjpGaWLgmJr08jCMCXMO7+dBO6scZ53U
Lw3H28zwTvr9qGYcnOV6AmbkmbbOeipGA1VGKQelRiwMICNnZ9bnZHOK4Stdz1XUH47Y9udxG/Hx
83oCc0GK7OOkLHQFTLMT9EpHZ6JHYwpvcxS9vK8gLunmU0Sr284pLAMxWaE1DH/0LlXzhN6uoRFF
yAKHxWqtwctzcwqiY09EGYMQXfL4IChLk51kMT8gKc2sOxK/N4ThPi16YwcFbYW7Vllsa6fVE2zB
jdAQRBvc/WUvI1+dLeXabXTlwucXwWp2zVfgYq1UOxdvQGAPOGhgdRRB67jp3ijM/DiAwnBv+P86
47slY6c76bIeayROg9Bha803ibbuLmLpnbzWdo5AOeNXzmjzmbkRwkAhAfz01WASK8Tsg1/bmpa9
i1pqEwnpPNzYbGNs8vWhQs8Vk+uM13ugU6iJ6YUZdWukt2sgUsnPHE/t0r112MJmSc+8nF0dh2h6
UKBjhjAZUj+mJfQOwuoxU2URerXm3YEH0egLxaftSrKjtSjBtuRmMNYczE367JYWKb2lHAO7SZew
7Ssd2xgulLmY06O90JPoYHDZ0ZOkbSpyf+xHRuZM2XQ72xj3k1nhJ5317pZWNQ31r7ykVXEZ247+
ija9NWvr4CYD+0e72NdplQexod5wd7jv8Tg/Qoh0v8DS4mTLA3ua7a86HQKr7II8arQHVRm2sd1T
/FnnWMPLbe7iL5nx2XS2+NF1PXJR+ykz+dQgIbTGePQovOUAAce17MxZvUh3DAyv3zN8nRdyRwwh
76o1YDhTtsWkoQ3S5DfIDwqv0RQ/InXQgskuuGE6MV+ENb5advpeLLYZkurqjniN2ABPy1kv9YMR
6xcb1QPb76vg19f1Bg4U1wmj0d7GurtnWf06R10Yl5HuN2rjG1FMErer1ENmUdOtSUYdx7nhe7yz
BkBcc7rEOMuoHjVHNf1/7J3JctxItm3/5c6Rhr4Z3EkAiD4YEaRIiprAKDboO0ePr38LyptVElMl
Wb5xTSrLkkkiGsDdzzl7r32KdDMFW6Ne26xoTkNNcJU6cjO3yiarR2I5AvqWdj4dHB4imW6GStre
aNtHu9KO+lg+SnPrpoZ116nhtairI/wetyeHOO/6a+Sga1MrXw2SmE72SJmATJysKqLDRIlyXMg3
qZR+KVPlS5Xme+rbQ5mRztsp13lQvEyFiUs8oqHjVcvq6TBbFn1yGrhknb7UpLp1i0JfoKGKRoy2
84BFe56I3SuKfWuXr/kUWGQcFRm6XIQOxqilTBqrDVF+0u08SfX61yvvT8hwaDhk9RvxGo4a//xx
5Y0mhZG2mcU3ZY3FoM+cCQTplHp53mfHNtcGz+qDdYiugo72/KZUdXOt61T+ZM82RotxvO1EcpTH
wEsdi65Yu6kj851iPPSqCt5umKACRwu4Lmfuac60bhkYjUvQ7sy4EsqSZbfbviy/Cmvu3DhpHlRo
dT7cTxwRMhDerHCH2m3GnVKlaOmICFMSsVFRYGTM2Jvcep2y/A788x5twmFusn3dkZhelUebw/Gm
HabSa6Z4q46R4TZ97JqBVK4jPdmE7EteIze3+tRhfYvMvRw5PNewQkBBKwirxXhPKaxzrkOsqE7q
WaeIxNXHoX2M01NfAThokl06GBsDTq0XM3wPCrQKnS1iuurk8yKPN8LqmIX0eqxCPcfUyVmXc4ZW
IUJX5cy+1qxxKp7TJLsF8olgrugzzywkEl4p4QMhLph3ewj8yFuFSO6prMHDjfGzI1vYIbmZRm5Q
G7lmmtavaS1vlApAhK484Ybzcs10TUffDqxDWlPiPrGOci0Tqu1IrwHxh5xTF2sr8hFUAcpOqpa1
rD3GlvlZlbO1LDP6tBH6TTnn2aSZUlhb4Zm+keIVERoXvcJHrOZJ90DLZzgwiBenjCnD7te36t9q
MYWqziJOUbUdvFAfm8TJLAbYWnl8gyHJ05K9IP/w11fgyPTdIYQ/SUMbYgQxUgAXKS1poH9/CNFM
QIi2EzLoNxOaPOe4iznj34oh4U7IyEap107i//qanLZ/c9UPjI+uSttK1yTpJE8EMuEQW038H3bF
z0zeqMOwG2KoNki11jA7FBA5Rrp6WUEkqIxT0y3E/LmUrGPc6rKLN5RO6aB8tSPd8nI5uaerMmDt
RcmT6U9mkI5YLjSz424qSr+brcK3K4nc9goeMB7jadeNlva1LJJ2jeRa8+M4fsm4V/1aNiOPFXjy
WuoJt++cu05fWpxSeo/OUt3lIVB5ICFIGLdsSp8aIdZmMzQr1Ui2mhxJyKI5oWRDUeDd7WS3zk0U
j4PBeCseb9WogKxIvVZrIR4oBwJ007/XzaCumireCV3aImL+NM7Joy6ne6MtkfemHNbiQIMN0sI2
MTtjl87JAR2zV0yB6mmZDGo6SFll5cdept8WJzmh7OOmEISSBjN3sEw6akggLHPPMsntVTUntiey
4FSRrhwa1lYp6VRSOd9FJhGPYyV96lowKJrWyi5ig41UxfSSuvLZDOuTkPNrTTkn2rGl87TvjV5i
tKltLaSwXqUo98UUbcdgHL1edDcVJjYvqYwdM7c3u5bxkiwx04a+CSv9aNEO/M3t9rt7fDmIfzdq
GejC9Cp4iVNyLC4gXtY0+R6GDanBWxqRbD3uC9YsJLWn4svwm9yXb5Gn/0ZO/fWA0VSByqCCtlpe
3HcXh4ZkFymG41PlGaviqLrVumOGcZAerbXsy/dnyT0+9n6C6P+Z/8lupqO82sfr4EbDg/ybV/Nj
YfPni9FQQxpgWSmjjOW5/O7FTPKAIltJoptIvlTE6sTyo+j/HEv+x8SQH9esv1/jQ/9opl0vRVEW
sbm+hWLrTNdff50/fQ8M7izaZxoY6A/fJnSgGcl4zeYtXWqH58HgzPnnCvXf8n35xv9z+f7pLXrO
n/9euS+/9VflriI7ocdId3IRnfyoSMHHg7REZcditqrp3Bn/V7kTIwL3jf2FPYaWFSXvvyt3FCnO
Yral3Ug3H8vvP6rcl37Edxvago9CPKws16J0xyH04fZAVKvJGS/j3COzaLxEY85pyNukKMC2ZyE0
NZ3eHTIOVFvdbhyQxJa5ysSrd/atkZpuxaOMroMYdqmsN12CqqtQgFditvWTrnrh6K0oaAs7XKhM
XTvJ06TuoSEj/nbKk2FjCjM4Rvpk7hKqYLNWNZqjvTgxCO5WBrATZlXK1zZo3mWkZNtqKG6EmjB0
JXM49eOxu8VMcbX6xFwWVfIE0gEPRVYwdrGR4mcOqRphBwZ4InpxRbAlyImUQWsnbZUED26ySEzs
Ln5VCnXsvGYRO7ZF0m/NBaUUVjMjL43Q1zQolHOgJjgQu4J/x6a7tRR4oBWXn+OMc5clI6pzYnp0
6PhXQrNr6PfDCUnZOSmj/Vio21YwwKBafG5x6x/MEHJk2fYGMbfJbcmZNzVLgL64lrFGMKvK62kz
R7QFRSd8YuYjV0Rm4Mvgrqq5uXOE2FbMwnZGPV/EkE6eZjqPWm29lKK8we9qrYQSAT0wLkYbfAr7
xVQ1CK+HpysqfSd3zslg+6UbK5muUhCbQvj452TI9mYRP41J27iTI72PoU2iRuus46z/YhTOW1Vg
qyQ9I3aTghFaQSAsDBFWYC0Ko2NMQ3yV1k38RS3AOUzJQyqjSxpy0hCzwhh9yQbsT+o0k5imeTT7
5sk2R7dEEOunYQzQJIxBTmU1p0WHTq2c4WexTdwl8vip5KvPMrXX3LiXoT7MzJnNDDNSqHeXqmEI
JVtD4ou5e9Gr9nMfpa/Ib/V1oCmvVZDSFh+jdl9QWQYYQ9ZhYfVrc4Q7NQMW5fL4gTuZroDMoE+s
YqU2PM5eO4le+Sa00R5odsmDUNrvU2KSId0weBxoRCGG8ZWkASVjNu9DUZFmIE8kWtiID6sizdao
DqFgBBhY4Ia4dcwzAp4pW/VlNHsBoDUta7XVMPUbHCmOF9njWeuDrWoUl2gszmZq7yQpXneconIv
GE4Of7PR27uqHlrXnKxLmpuPFiAvTHjIo7Vk8oKE1C2msUuMSlO0n8k5lz3iAMgRTyp0wZZDy8zB
6N0mxbpMq5OqdhtgV/dN2O3SOqS4Q0SsqEQCq9NFzfotmmaSooelyhjHc56pWK3k7ClqoKmaFccr
ebB2SW0dVQcgVVuBhdVafPqTCkglRTUFKMcLI4VgiVCJd10SH9UuPip59ZSBUMWV3nQrUwlwhhuP
nWjOap7qmyiF+zwmiumCrTE8UWB3ptnPYKUDQq3neH7NeXSRht4OZvA4B7y+uupQRccaSw+/F+YZ
GaVthvwj3QWzeKsLTffVOaMP5ahbOaTIiia6dA4fq9u30aMaaNd20JgGxN3k90mjE/uNd4va6R0i
30GP42MMOouWD4KLrKg9OY+fZlP7FEB6dUVATnpNTDYmLuWWmuGJuDgEWFpxVSW8AMpsv5tOt2ln
FCN1QTaD2vRXEXVMa9VPfdSc5F6Cj17Z+1hEuOWt/JrVtDqsWNpHQ3YfGy0E8nbcm5NNYs0iwhpV
w02IYoAvxcgko5PhzXJ0motBWqEZGT1JZO+EWXyqK8abkwIDR4sj4lei5FVUxjksgTnJ9jB7iIRU
FwWffBhCad62drW2FrHXXIPjpILzETwDKXbCu5Gop06VtjBwD46T92u9EntaCPgklCh06zqfNtpg
drAYSmMd5NPnXMjrNpSf62aMN6MaYSse+huzy+/p2x1ntA2MNGJf7/W1SEK/L+1DXIltgqB2O3MT
YaYySSjR5c1kKS8owU9GyJo9OprP4duvFfHWJvGpHevneQx9CzIQ46rOZXj3hJfRC1ICkMZhCcOQ
t1bLahpSx/TcBFjNWLkrSg28YkaKEGacrE9VF59m3XhLWxbKWDNLOiDWlod7XLVzfFK0gclZ45yF
M4f0HIaHjPuWJiZifmtAytarRJPj/QLJ1GNHhzpIkfHM3imw1kUd52nYhHCtzbO98Aol/Psb0YjP
MShDgk4yt5yde8Vqn5KFdihYF1ZNy60B0BEtJlzEGT6iRtj0Rjhizev7KhLcaAWtomaBKjqJ0lPD
AFqk42J4QVVf2PNOwwJjHKro0C54RkgOdBIANjp590o6EM4Cq37VouJM0hHapgXz2OKtUSrAj/qC
gHQWGGQ4tmAhF0AkT1ntBrZBWqvMU7ZgJEkBX5dwJSeQEbD8v+LtAWgGeXJaEJSxlHzBhfPC+NPV
opwueJBuOEfwHQT9nWJUCiin2trPkgUsnrYwi3jqZhyN3FiZUVtISnN2Zp22cg7ULi1dqtjzaGFs
aSTARejLoW5U77aE3xUJ09NQSoov1XQ9wsJ8TiPyh6pQ+izXXXCFW3RiNW+c4KT30SaKdQPzSxfZ
OxnfTw3PLSsjcyVimWISWEc/+zKguejPKM//nqNVDrD/+Rx9eitey5e4+IlCcfnFfx2lVeZZCgN9
FRorHR5+9NcQTNX/oEyD7cfKi2lqafz8+ygtyypoGgcBtPrtvPyvIRjseio7GXfcPwTgMBT94RhN
ZSgbmmrpNlx7tInOx76QhenbRiMtnRUJ5Vwbs+fq81swcN9ifoDVp8lrWtdrMbETQQ6pxK0jcumq
Wr3EHmOVhXUbhg69BQdbqAdMTDwGdmxNL4ZkQ//DHwYvDX9pUi+eU9WeARnCzWt0R99wxliG93hT
xzYe/b6SnLVQ1M9FlcovYY2XtVbHal0u/tahw2nbL57XtuS/1RYfbJeq4kv1zRu7uGTnqDf2Q2Ht
k4SYuwFFtxEhlG4w13Zq95XAPxmkJr5bztbop7Hi2lhyp8Wbm1uGHzl6f2Mvvt18Wb+dxcsrJozk
0+LvFdBGkCuxreLR8G3k5hhg8APPdJGZnzeXpIG4VUxt9gRrZrpTlMdYb2Ke6fQGE0/kmViNk7kt
4AYqp0nm4GmjAxri6qWJh7Vp08DR24wzx+JdthYXc0vYxr745mxePM7p1Mh+YyzGZxFg4rYXN3Rf
MRbia5FQFCGbNzBNJ22pgZTToc7gqkr7kmP+4rEuiKy/jtiuy8V/7SxO7OCbKTud53gtSYgvSKIq
iHdLFvu2WIzc8zdP9zjqttd8c3on0E1RthdVcGdw2U2fJJXsc2MXu0L0/SZv8GAHpmSfYp0cgVXL
ypSyQLFOKcuCpXTRU7YsYRFrWShY1AZiQXySJJ9SpQ39gJVPdvLcZac4ZkFEYGAynbNlmYxYL6PZ
8OihtecJ4/sC4LFcXdip62BuRCpv7sSy9KrLItwn0120LMsqa7S+LNSOsF1lNLCg6dMAXzjuqoEX
0H4jD4t+UPVTv8DBJvyASokU/mJ8y5TEPoXobDVi1FIbGPxVkrVHUTsy9EXGq+jBzbWoDcoivSw9
qSw3paCzxxSg25Dx8CXrmZLKo0LC1Njsh3E5dvWhsjb0wL6BKbGWcudVlZqjmeTXsuvuA0k7NRXe
npUqVTcTsfE7dYFvc9jbLrRcIClG9klOgsC37bdWGg9xRrdct45TVDq+lUSbepx8s5zXvOezPRVH
I4eg3EsHQ4mPeWSHCOmN4FTYVePlZqWtuyi8i6YxJAoz2wmqyLTmS7Ija18NMR1jKs6VmtrPYTfw
BJrxeexLogULGjNS2+fkpNSuYmY7eFG+LcRzDm9oYJSE4fvdtGKWlnwtQKQTn+bKfVMyL5Nvq2ZA
MJmgcdNJtRvdQVnOxy1nsGHM7u1MPlNL35u9bKMpdUrzHCDz3gf2/F7VnE3nbmeRp6bluW+2o0bC
w3gwpNTFgvIcmRoVeu+DbyLfzrAvTVrc2qX66uCaw9CqvbXOdKsDnfUQ1JymeiZ8QHcrvmO6/WAc
GJEw1nD7GclfFuQvuAA+Dcv9qKTJTnTRZS6pIziRwbNYcLVbKy9dFlK2ekO+5sV4M9WTqzIAK4LO
k5C0RrO0Iatva9FhzitcmM24loxlcKTGL6bNSVOqtpRr2OUsH7bVGZGj7RcyZssWbkbShReVQiDu
w+0o215eSkecu4B04memQqspHdGc5u/4i9xAKB5Gajdo4U9lb2XQ3Y5M1RNbxllJEORQfDZq5kMz
ORQ612ihTgbqmdHBXdOaHCoNcNnjrT46C3tI9ZwMo385yJtcF64TONyBAUdzS17bTv4+0aRjhVtP
kA+byPZMGwRF2EQ7TcFEM4vPstLuZ8O+M83qsx3BsUJa3OWvxVS91TLxcYi/V5YWr8kewn42eWmo
+xEIy1CLrhqxQmWv3apB/q5I7UoV8kJVXFWyvJWcfms30lqOsrvEKI+todwLXqlF4t7KNCo/kIiw
kLs1j+JN49hrRWv2WjBxwdoPKz6wsWi8sg4KwlHUl6ErP/On9PUYaN6EMtPlSSK3KBpcwlaem6Jx
C1s6wHfdcbhDv4DQtRcpsXRsElGFHdIB2LrqTGujtv1j3hVfWvAoEyAuy7Kw1YApKVuxLWxjJ495
uZoNh4Ff/3kQ8mMpaKRIyibQx3UcdHx2jk8eMwd9g7vT2tBsvxIfcKgY0vVSd5fF1tYeg3OgzbtC
z/f4TFGC0mAvOnIPs+lC3tGOB2xVDfY1Ec4RgsVTRazzJOjEq459Hwjz2lCpFo1x242hjH68uesW
+C60yxV9iFVhZMfMQCtH9341ZOFJLAvVXH6e0vagCmNTVUt7ZXATTJ7NsBx60BlXxb2opr2ilgcJ
muhZCuTgKzax7K7BNuPOarsXjC7mAeodMBxJSmCYmvdJm1s7lUkjlur2CXj8StVTZNf0NmLl1cyl
VdHWn1MR7TB1nFlvsSeJdKMMzcGYlylFZqVYYJWnyGiqtaOln3LRkkUzpptUUy5JaiegNyoyGAZt
jRpoG9AEHFQp92Ospj0iHAunsatMqpdmDDaj4jKG5iYJRhpg02slIdpokueWcB1yWujZB022SnrL
77rQF5FUuBInhLTtXHzYoTfSZusl+7XvYafFMr0Rax3Lo1+UJAjnTUJVP87rMS8O2FkPojU+lQa8
FEF5WjS02mJ8x9Eg7QuVwFMqE0UHO6KUu0xqT7M0PDWiemESywy6cdwgG1EAdgJWK9vfd0fanwiY
PvThv50Qca6AaSQoycF39eMsASuzEF1cSGc538ZJuirTWylKfzOe/LGb++cxlMmJosig1xawwI8X
iaVcBpqgSOfR/iqGzdA9jSWoDy/H7fbrt/OzA+/3V/qgxioDQL1zwJVUQqH1aVVZiDBnDBcPSfcl
Ls3fDKV++unxNCH9YuJCHsmPb0yl52YHWRleeulL2x3q8KXIXv75O+K0zGGZy2i0xX+8RGCCxXGm
KrrAxKUv3U2Tn0VM6MNNTCqR2v4mAvQn74jAAYoWgiJ0cBsfJsl9AeBwktv4EheMHDUsQYScpL95
Tx+GS8tN98NFPgyOm0BqEcBzkUSIVSuOiRN5v/7Ufvc2lp9/NyID10jrAGXjRVQnE4lBCmHcin9z
kQ8Tyb+9jQ9fTZVOadXnTXwZJW2FRMOJL+TJsMA9wb8waRLChP7nbwsSF3MZKGcGfuIf31Ya23kM
hjq+WPW1lkOa0TsreP/n18B1bDIa4j6gCf/jNSB2S6bdi+QCcdKHM28VpUtj79cX+dlHR36kY9De
0rD2fbhIOUSWFcfEO4vqqTCPEZViwmLgBHdJd9BxbQ7B9ddXXO6p7ya4376s76/44ctiLoJ4SZmS
izwy1m4eAdf8ZjFYuHjfXWJxYhuKtSj/Ub6aPK8fFp+m1LEEj0p+SY5iR5a3252AkfnGNbo1XHLO
17SX179+Vz9e8tvKysL978/xwyVJjstHXK7JpTdRKyDIVgnlUct/Ngz+v89O5yNh5zRM48O3Zc5g
eVokGZegdlxVOdjgxH/9PpZP/+O3oyvL3eY4zIQ/3thVowJ/hll1sSh9J1vltPkl1umuJclv3svP
PrHvr/RhgUMFUgrFMpOLYrxF9tUI7ur5N8vbzy9B8o7ioH7GqP/jExSDRbH1OUwvRXE2kAmMsFXV
zvzNVvezR4ib7V9X+fDVp4J4GxCY6SVOXzJpcTb4eJaMtHPT9iKlm8z4zXf0t7cFHQCvrS6TCGYv
qUM/vi2S3awqt8rs0vYbQi8G06/n21/fBn97SD9cgl7a98t2QcS9ZkZ1dhmg2ysS8VWwPP5/LqHZ
PDUceOiz/XiJZBxzKaPSujTZizTvAJv85gJ/u5V5D0RIknRm0HhDpPHjBVg6rUEp5vzCOS/vDDdK
dgsThfHktzfy366swif2i67s8+ubeP67umH5rb9asvA26LsSOvXNkg0R9LuWLH5y3cCZgB4dnthy
nPrLl2D9QZ2Gb1xHSIer63vehvkHaSbYvPkFvFSLb+sf+BLAb3EL/Hu1Q92AggIIGS4IdJp4WD4s
EJLMWqe2SkjHI0esT5xM2xB/m03iRmuzxyqVVhWUcm+Op73F2G5T5CHCxG4J7AAk1dd4nLmxtIEU
Yys7jEQZr2YCrAr2A08hgWdRo9FJtYkwyDMcrpQeQew4vk4/UukI/Wnt7qbtyF9R+iczo/ZOUt9Q
UefFYfTFdDJPQhr9gFBR3gJ/PoT5ELhWsKR3tEq57jp0O5zqV6GiPnWZVXh1DJODLBdID+C/12Mb
vPdD80ZQnkmXUTZ9m9Gui4b8rkyj6xgWz7M8PEj0FJiRhr1LdQQ0RDL2hikZzKojPgHK7VVjlV9t
I3mJLHGTGzQ3xMBbZJKV+k2lXGBvYWkOT4SIHMg36jcJplb8AOrFSNjpCw3EUpy17mATsZHRANmY
etWz/Q8vQZMQJapgFU8jG/hDZEBRkpNPNF0ucTeTQSaT6NxomXUccueuyQOExcq1KQaxTiBde5Iz
H6LM2UfteKjKSHatIWpo8va7UKmWbh68RNMGR1l2hrSW4sb2HAzV901aFlunNDq/I38BRGmr7aks
EnDJ4yuKlmkf9hGN+kJGWZAnNnNKWyL6RzuatbKrdYaeUxcE10kqCKipkT/Qv1wA1tCLQik23aIr
omtpSvQpAcLGFhLd+stE4N+mCeE5ZVWE9D7kNFxV+toqMLnqATwUswgYgNazTzKMtUL1+wKmOXcV
iwErKaq5nxVI/8Y8+JJZw84MOVnHaTV5/NEJp3NMPE4xevLc+3GgtP5SSexVtb5F1h55lgopLBkN
bsjOMm7kRsdOjJPVDbv5pROytqqaDvGxpFN1p4XjdgyqKUjV3psn+wQI1fHs0XwTVV/6WBpvIGwV
rtZyK6NYH72wj7N1FeK6wZ19x1jxS28trmoU4ita29m2bUbaV+FwJ01BswvQtFMRA0/LgwWBUqDN
6XpuY8e64OElcUXP9K2UG09Oon6lPb2xKP99dWxOUi5Bt5dsAHRDwVCi/jo5NKuZQ9NyKxrHvMK0
bcGDzziGkB8b6PFHgWdXG96yKXocGaes6bWWDPI6XILWuJ6ADF6sIX9Cn9F4zFcYoDYt0HJjeqBJ
gYwiAJo5Ql6zBwhSZYmrO03LR6pPiulM8zHAwG0VSHwYbpuHhZgP8x+C4GQUn+YyOAuzIhPMabyu
LN7jtr5TtWhXqPaht8nwbkHWMfpUsQVEUnSSE/of5QRORc8wu+RCv5VLsvAU/u66Jr/N1vC0IHXf
lVYI2z/lhTvhthn0A2iad7O11g3TDJYmwlMYre9LaXpWFwlrrZA3UBOztoqn3tzHcLXsMRyDzk2s
tn0swrov12NUoe2KJFHeaUPXPCDUH/BdqBVpLXLTi60G9OFLmJbGvm2qLLxkYRbau7aW9C9BCBzg
lNBq2eTQxz0Mr48KvgvfGMliIvg78wPul61OPpA/JIBMB+473wDTteIufOr0bjsT9w543dxGJiIr
a+HQDXGIlqMMrvY8n8eiA7GWzzNakfySmSEiYoUVLq9ilqeUcUcXJu+hsK7CBOSMk3ZNkES1zSYk
HFZl3eJgec2n/qE26ODzFG/sgOROB+phLc8XhzC/Lp0Mt6rkZ2VkHSexjvjn/FYZlAwfftBs60wi
qqEJzlMqq+7UpkhOQnpORTgo6a4okcE3WvEM0hLrr0rjyDJRhaTJV9UeWA3GryOshaLGtTvbBj1J
necwwxBsSaAuxmOBKypPtzZw4GLeoCXfSL19DhWDYK8peTe1aD/nLXYBUGeExfkKctSVYpPhm/U1
HN98uMtnbYRMz+on8jxcF1oFGXBq81WChqItyT6ddMILe1lx8wGQiWrWt3FiwH0S1jFAC1A2cuzW
wyJhgopcR+qNHoFJMUJpbQjRuIykHlClXcq8vpHMJTFJNh9B/b8koNw2DBgOQzWi/hpbWpbzo1Hb
0IDi82QQw6C25r4KmPp3SbWOnaWRan+RNTveaDKRVKZUKqsO2nehxZoLE4S5Hx06w7qznFSDp6u/
mT2ahmFmsdXs9pDkYKnAWpv8h+NamGKvt8xguphGWiysHYQO1mdNYVo3Y1SL75g40NSnH1rz79rp
2JfSQ7oAMGWIoqIrW5Yb6B5K+JY4ztYYyl0p8dOgst+JqXutGuWQq9Hmv+fJb2Z/ncrpP58n75gs
/4xou/zWX+dJ1LI6ln5OlN+QQSqV0b9G/AqWfib82PYVVMyLz/6v86TzB41VSgwktg6e1g9EW1p5
8hKPg3Jgkbf+g/MksTofz5Pk3NCqQXuKpIC5zFK5fd/tUguV5c+ZznSNmrUsZYXf6DK5ZalmB/XB
ltl5V3VvEA9qBEUF3767I4h1Y9gpK8UyC4gj2TiOBVK3PiGusSPfQpfpkGSTRj6x0jo3ZsnUeCQ8
5KrCLF+BUZMOYECMTZOUnx1Iry7TrpeixvlONvM1j0vOnEPJSbLqiVcNrTOuKwD2ZU8QY0UzPy4H
GNo2kq+O5dUtcvWaalK263NYmHlg0P+PjK1ksTSTv9nslLQr0CGYheHGVXoLk/xtSOu7cgnHy1GP
ClBkiHWlcR8y0IKT7VRnYt6+UAXcOjV/JYA6rdvyAOEUQe2IUy0YnJOs89FoIDnGsL/K6fyQd9W9
k9SHOGq+yJK2SaqcFzsPKM/s5Iixha1iME5zZb/ODuhc+GG1a6v9YbLw2QUZli/0f0BHICw5avCS
RuQXGna5DuDoWlJ9KtTqc4KGlqFYFbhxlAt/MKavc6zeKDG+s8GubmOCa1w50WpGmxo6ho3UFXSz
owXVKwNKq0VJir3wRVVuVI4QsjNsVLk9dIqzVsT8Ntt27BtWT+gATlULFyyp9syxiq6pgPckKAHt
odo6IYB4JuOPFficDsmHV+Ne7VHsYTx7CyzTV9VqiU0Kn7H2vHdWWHpWahQe8utyrchtBsBNvQRi
giVsslNWSXWNxPxsk/i6Upjyu1FG110sWoXCBI+ltg9JUl47OcdbZ1boHLJkPddrI/uWbV9sOsW8
jkP4CBwWAWjeQNBlLNpLgChsk9vVbsCfxmnYetY0o5TLitgHKQeZNIRZHtcOHP8E0WlYQ/01D8Fg
Cw9/6+i1RvzM0SxEMFY+W6Mm3GZkG22kYN4Gbal7A/so52ydtZy6ZwX+t/JGPdQRaIZ3VmBxT5Wa
il8sP7XIFl0cTRCoxlkC48qsECX9IZOGKzDmp8LSglUx5rZvNOYxN9UtPg7MmqHD8aEh31VCE2lF
yk5epAdmxTjaYPwMF2k8l6O0EwwSV9OQvnRJ95jk2tdqGi6J3kGpD/M3FinE5iGpg4N9AztJ9hOb
CXTQFP3RmZqLVmmvCaUe7qMI7/P0dUicm1Et7jDzJm5uzJB2WwJLJSNccz5NODgLgg4D84mIwKsa
ogxJkvQtmXuS29SAsTZiODWTTHQ9TMWccOEMhwCJCNDwpSp9xNH1qAjKNbMn+UFOvhToJvn6y3ZV
lWjJ41I7daX9kAjpoIT9nrEyppnR8M0IAnC55CCWnQt3BMeqIz21yMutpDyWAtX+YDHlRFX7uWW0
yFFdc7Z9ZTmURk6+HRRuvLpx9LOaljZRcswKX/+7LX7bFpVfbounZyLIf9Jl+X5XXLJgLPgPWJCW
WRE/+teuiIdE1ahaaeeyB8r86K9d0f4Dag4JMay0zgJnYMNsyq6N/vd/NOsP2ooOygUNG6O+2Ev+
ya74Tdz2Q5cF1RuKEUZzy6vgD/64KyKKA1EvyfNZy6OHGhk7u9kEl6+qMQ3O+dquTebL5c6YJJyJ
zkNeUqLIHfJkYiI/JbZ+0sp2lyeJX/d20HiWlZOAEWOpvs9KR/FLVb6GUkGrn/rAASGXSF+JoKJ6
KBStjw4WQOHRNRY6mZlZybZB/+vnPNFXGcmZV3bm3ZAuBr1+OjsGlo2x0LwqAtVWj+WnaZIeSqO4
1+gUrGQk4a4sKLul6RzF9l6x0DBEzYuYCd1OAeWF4LKqRL1wWn5Q+wbSfMuBM2gXq69IKaeL90kw
MIxUZR3oRGJATtNo+YxnQqOeSX0dPaPXOo/Mp9d6yGckTfjWndH2QxkJAA0OBZihafE0S/q0G8ZS
cgnfOCiddcaH4nZKdJgh98kKId99HmGMZ0sUffUYyc6TpFsI4jLtmrIHtkb+kMYzA+9kvm/FsO47
pbpRgiV5tHxXSdztRXzrdEujRsuPJI2Cx5oA23UH6f+xdybdbRvd2v0rd905stAUCsDgTthTJEX1
3QRLkmX0fY9f/+2y47y24+Rd+cYZZjkSRBJEVZ3znL2L/rNeU6kBaMgjybI6svTklzUNIpeVJhDs
gOxYoVzC/zNXvkkYwmZ272wCbwX1iUiub0lYhQUkdw+QehEzU5EBbF27zAEAKSJaRkX/PZyCi5yA
y7b1Y56UpLty12Qjb+26rj77aU3xgVYC8vK6orYred5tSW1RZ2Mh21skbprGJuwN3s8qCK2HGPkE
QYkEy2uS0oFSz/I4H18DyT6J37ksiC0yBIEkF2fnIrS0V72G9VP3TF8YCRPlGH8m7LcnUqMshXrT
bcwulMd0sFh18/o2bOA5mC0gMMMMQEo4XryaayB+/TgvG5kKTmfOyqWItWVAG5Ex9z+oOZezhthr
VfPA1nKnd+bD0GOZDsJGX7WNaTDAaMbHkmADY9fSWId2BiG9jwlsjND9LYEgfaLzf1mOlnkdmaps
k/RbT5QMvQYXWcJGYKzMVxrONq6YKTrT/RmWdAY3k5th5SUlBqsqBeedv01Ex8w+eioCFlWvTdZB
yOcZp1N6puW2iMbs66HnL8cc1TPgP88I1T8TPG2AgdLu/oKe+fEZUVooIFLgb+c0A5D+iXjMf53+
/sUlaGmhtiABbJD5NX+8xFQGYwMbS5yZyemSq6m8y71/A9pfYUPK7/U3RzcYsscuav7n/EYB5Rcx
bfXj385w9AQYD8Et6kGN8pCQfLdaqWFIVydyzdLD6kRL8NtqZTPWyM/8gSrip76tVmCMmHgEMaTa
YbTi/9HE44+NL9UR8Oh9uvjT+H0c5FTH4LsTXM3Rs+EWDc7UsshRk/b8b8mYn7sOjPTS7YK8REoc
lib4Od6c76+RGYXulek0XgaJs8/DztuMphnXGycbT6MFpJtW/9Rs56mP11IrSaQaTO/fmtRNOGzg
qzhxjvCafR741amrKYEus86S1UmtsuNaAMMNVjqknnndDPq6KAe93CVEc9e1xljMOFbzFma0ieNM
GlvEZNW6KYZ4a8kSXFgvr2InV2GTjAJ/EdSMYgQU04K6iDUaIMNc3AIMCD9ncdtvLAN4W7x0Gxyb
XjoJM156Kf+1Nkq4/etQZLp1yxGCGnBZjdV1O/JXRMRAZ3RZC20Mn6zSODBzV8Nb1cAaecne6qtt
78jj0Elj4bTaZRf2D3Zi3VVec1sn8zHI+wdpM9blSiZZkkgcUU2vQWEfQ5p8Br3YPU5FBslGeaBW
hy+K4DxCKoL14F10poHmYrqgQ/FcxjExxdSRC72oznUk452Xh5Ro9bdQQjwIS0LKAnMci6bxwRGK
YB/tmwlwLJlr2smBsDLgbaO9zS1/PlDKO/S+th0p27VaFGyz1K6ZCsKANpfraohO2WBba99S+A1G
q+a53lMvvgntKt3GOQc6oq37mlIxyU5jnzcjR8swuy3q9hBaLEoY6eX71CcMXtbBAL5BbkZqr4vR
YCRKtKSzGWHChrEfy4oZnjxaMJ+uaFHu0nbdnnZIbN/aYioW1kiNtcmxOSJRMDnoC3SaU3uqZK+B
16v3fTJO2Kf1DyG7T0ZmQ3JPZXawPPq2izCxo+syd7OVMYoIVBYLrOEY2oXHPNu2cfV3VPD7WWqX
reHct6G2TUMq/C7qTAaslp1lHBGmXvc5dsrYXMW1v4ZPs8zkkOwgpm7doTWJoPPG27mapuofDWX3
LO1ghefkZZb9qdBZkaN6vLBT/Wrml/YGrFScnrMAPV9qr2ZjfGjauC/EfLR8ZtCch9F/Kdz5wslm
d2MzfVA79j0SedC/41uPZrRrKSOKLDnaDDQGPn5t2GESn5r3nAbmswXSGtyEcfREHiwHca4wrGUi
XIZzx/6P47MTanfu2NwL6tpjkLCZC4Mr0YNXZpcygQaLDm2R7NmQk/rvjYdSC+9cN7sH+4+jZdg4
QfmZOsJF5WkXIy46EE7yooq9bSrTbgFJbWUVBqTfTrQ3YogveH0HO9ZfLPQ1KF9SYp0FqGPTKvHU
iTHZjVpmPheD6zw1bhHVjKxN/n3W+snN6Duk7cfUWKMqIl8eteGq0hLCoEpRSKaBxoeJX2Dga3Hs
Szu67MTMNGJa9+xIOya9+IZRjS0YkWzZCVW++zbTaFuFtnzQGobA+0Ze+iR2kdyzh2yF13AzM1fR
T116mFyKEoFp37Q6oSOMIxXNI6rTABUOfTHdZmUyLJiQQJxUNshiPfEk5W3MJ7+qOlQbzoiI3bVS
efIh6a/HGYgNheg3QVRlIfHU8JWDQS3sO50MMu/jxPzYFBxjdCKkuP3rpC3e6MUsYx/1cQzAhjGN
W/Syz5ZVvjRdAjQy3vVx+5kozBm0XIz0nkIyttxnM+42oXReiklbdDCCFsKosPQOxAvahuJYDD65
8e3VNDEBnTrruDI/ZYTntyXjwnHeP/eWv7VFS90/6l6aFpNRzcecDBvTdx6NvHmwu/zRNooMu1F8
O6bTMfeGXVtBxdaG+DEIp3008BUdCaT62RYSFpOZqbxp2/lMpeMZUNFlwa7QFf3jMNdIsIuLyJn7
TS88HhZ6veTTQG+TvMyVSsrFcitiJhHGtGK83Y32QTPif7eInMW2vKWHxjuYQvEOcucOg/NFa9EO
I3D7zEpwqHz2zhpu74hO0q6Ig0ebLDWN23pnq8ONmFZaN56snFefhc6R1uMO7soFXahnD1+8TzK4
dJMzbKkdaGEqZIwzZWbyqlFKsIdo16VIZ5hreWXc7oL3ehXNCBI907sQ3XTdlDp/pmgAtGm72pYv
PiDffoKL3va3nLFWnJvnTTNSYsui8EoX42dqd7hpoPnqIobky5wmB79t5Vd3Wd7ObI+LHUNQ1Y4C
yXSk3ryKTfPY1dGLROep1xweTLNoN3nGSH8hxHBFWBpCV42aI3Hrp1wP4Tbp7plyIHW9vKoOjeFQ
8QoBqXEYfo9SlN0EB7WnoZTcL7ORrukM+xSvovQTY1rOyuS0LFcDgEHa2f8wW8gWxCNFZkpVSVeg
x5/CV0ZiG1mW+9plDN4neUi8N2H/sx39ny6hdlrf7aQm7mKZdFxCr6hHOeeuPBMz/G6befX1fPA/
eZddwbBrm//7358iPr9fQzK+B3VJ2spX8P01TBRs2eBFwVnnLOlS2W6P43jHjNXfX4YqyfeHky+X
AaBJVd+S4Dj0nxJeQREzq5T0wbmD7V1B8GlMvofVfSeuht5YyIYaof01D/5vqgig8t8cJU4f9fvH
pz/Xu9RPfTtBoKLQbdVg4Xngfmna/KfeZfxmCiBfSKYcpSjkk/p2gnB+IzJkEieiB+R5X6pk304Q
pIo4fTroii3xVWDxT+pdX8Lm/znLfkkVOdwnBhYJKm/i5yi/pZlMWFVJcjZ00dYXXhuVOjSKTGgk
BRKH8oqsswlbWlxdGw5ECMCicH52434Pn36bqziJGmxr3QdmxcpFGfV3hiXqgz4yZvzkqw6zbFHG
TcThl9mX9nNC/gJrzq40bTBjNKmLZDqPWtqTgjZffQ5kS6wxh5LGdi5HcFm0ukda3qXqfXfu+EAM
6JOkKV5aBb/AmstdMNpUhNxiJxrvGqH4575A3EDLgsk01WcvqdPf+7TeNcH+FtkOUMTROLu054cs
hvWgOvaB6t2PtbvrJXugLBl2aoUVqs8/FFMHOIGCWlFU/ZpCRLwrrQzEJl2SpV34tPKr8KlLqnaV
2yWrd+In8I11Y8PgOXIwzWLPM8g23PGAZLCm4sjDwxwBLOuYlu7CUC/XCevatjGM9ICOOrhxWmeE
KFIrMQ31ExgD9jkibrYEN2FcThPjnKMwr8KcEcO8maDaVfC5aqCCm7DIeMb3GZc2Y/fR96p2l5sW
HfSwBnfXG4xhjonPMmTUGO+61jq4Zc0ONqMXEPA35FV0IRxNGnsvYV51Y8LK6CcnMd4MdrqrrgME
UMXxKey7BfpUwmFsqkPkuEzUzxvdzq4FktiBLVyBNbpOPkiiPVZNcix0IkqZM2xTOidLx7aBjWsn
/BPcSFm0skt8JGF+UZr1s6klx3iI2LOZ2Z0VhMO6Dd13QaPfDJzLPBvJVIStk5DbmvATWFZvsZG0
w3g+4cZik5EM66SM6bej/WNWNtx3mQ851if4MkrTXWdz8D6PhDl9HZxL6TF3WeDMhcaWh0sc3+/M
s9YKz5AsAWKznQ3HdWfQRMqme3AB4wrovs30XR/T0GMgGG33ZSuHbOXqNiGOIAO94gaEcPg/Y35v
yACXw1jGMtFVcs/2kiXsoH47hVG/0kcdIQxn4AQTJhNioEZ1mnMyGvslVUJzHSkhiY6ZRCpFiY+r
ZHBG9tBKX+LnjbOocEt55FzwXqI5afCdZH7wCXkH8AdGuVulRImVG0VJUqaeEVud4munBCqFUqkw
BuVtXLX9V5qVXK9bTORYMRCjMGZK/iZGj3mRKx/Ll8fmv+uHySL/16WoE/TJ918sH/zQt+XjiwTO
ZVhIPZpBAvBPf7RLyBfYjskgBCw0hQP4Y/lAAkfxEGSkDZxEUR7/qD990cPRf6GVwqw6Rat/1C0R
f4qkCrVwSM8wTH7XV8z1d9umqqjIrIRxeIUAlu0wZwIyLbZzNnB4cbsHXzxsyVcpW1eiyiJlqWxt
E7TAekOlA4vbIJXRbXCbHd4yy3+llBPr62HIU+3Ai278C4ORbWMdzJrG6TTJo4zMkwjLfml0UK5G
RibnFI4SwAvAs8QQLRKqE3CeJU81jzHheuocLI9UcsKdQzisQhNia9QU4DfvqqD2YnIEDWtANaT1
OSC/xgCTNcFAClwybIvExcUyt532YVNe/rrz/PfWV/npv771n7u31z/f+epnvt35xGcoraqRGDpy
KiTzw50vGZGAFU7o+uue6tvGyWPj5PG1cCgmUfpU7cVvGyf3N6qljMjyTwwwi38Gm6PM+8M+m40T
Ayds2wTTDQxVGSqo8/12Pm1r5veLUT+3RFmANNkIji1uWa0rSZ8Z5bWtsi8Im+iis9BuigKQRktE
pqZBxzGL1EzE1vBYqySN+JKpGeS2J2STumN5qmdtWfbA01r33ejxR5nZsLNAlOMNGvYeQs/IKfVV
Sdmua+DE5J4CdA3ifkADKqIwv4Mf3hEULt/l4B4K8im1wfiyyKxoAbnzPYVZsSqUYZTA3G5UztFg
LsL8mkwbE8hCXGkWSQg5eOt20H0Sd5qPybZmJj2tria/fXW64N3PCAeaU44IcSqrvZt7uF8L7aZF
NXXl0SWEUhfisbBqmxXLcVY+TY1loNGvzP0JGJigZuhZn5pIYoSvLt2W73AZJk+Rad21hVeutNj8
KBNAa/4c3Nc9E1FVs+8kssRsNnbMFn3S9SQHWh3uEm+8zvX41LBry/LgEM/eHXR2h2IX5bja1O9Q
laCs5kNoQxIqqU8E0Gzt1wka8LJxmicXjjcBCLK0lc15VuhXsI8MMonRdeRxetKywR0upomaBAQQ
uorlhS7zS3eODv1UBHsrbm46CQBhtHVcgXXWkKIkGAHUDfxVunJmWPqVpvGEyWEigptHaUJoktDC
Osob9+yZ5bRNaRsuekl1OK+8U9DUH2ZFAMqbneBaw+dKIcZ+99A6XlaT+TktbPIMtSz0VRib3mWK
ymSZ5zVbhIQKJI3TZJOnWJNJv57JDZVLPXXPg1YQEZYeuaqp+JwlwgLfWlx0tXlZFiXOAWtmyjIS
pIOJ/y4MW9vGI9OkvdG9yDJ8SBJmhmrIBKjQSDSbFJuwjIBQyRXFpJkfHNAjhl+8ZYFPPMciGpZr
14ZbfhbhtO5CyHTV6C7zRNZLva2tvYQlXcrsYoQWIQLrPBnJWVjdSIneUxXv+FEf/HsbbcAOjBHo
D825Z4Ni82ebhD9NbAJuRxWwynCA6fpNNrUX+hBtqyS+iaJgLbv0edDrN9urCyrARsM4P2yXOulW
tQR7Vej5iWibznZPu4D/J7ZSZz/YecDB80AxpI1314SO0LTTY0lAdtEb5aaElwD1cK5W09jvE3+G
FJzrl0M6vIUqoyVVWiuXUbUoCHBZxOg8mtmSYFesEl4uUa9Wp5JaU5LTVAoMrWexTJhnHFVCbFJZ
sXyyP7WExwbIN0C242Pl1yZxNhJmiWluYyJnLtEzaiT3BlE0Q2uu+fso2RJS8wir1Sq1xh+8CuZ+
WHkE2lyVbOtm/abxrJdJZd4CEXKSUjk4LZm0faGycTkhuZ6wnGDlCwnPuSpFV2aC/oRQ2Tpfpewg
6ts7oCvr2q86kJtk8TJCebFOINAlzrisjGZGmE52L1Mpvknl+di+Q5FUqSCV9QMqA8QsGK9j+lwL
n0Cgq5KB/24xvyRyVK70r9fZU5ETVP2Y/rzWqp/7Y63VfwNGxXJKqY0Izk9tTqQqzL1JKW2WXLaA
39ZafJlEWBl/gkT13R7Tsn8j3MMyy/w5WR7Jhf5BhcJRW9zvClostIScQX2ydtMN50HxU0ErK1PB
fL4rLzOLmnAJy3JV6M6zw8GqcLpHctn3yXztw5okGb02K/e6a4N7bISkLBHQLEuQEVU+neQxDrR3
a0juMw2Yh2HV8Xaq8zfZQpEidbAvsxh4Yk5upSsAXNX+MoTEuiRb8qLlfflmtHSoLLKaa3JyPsM/
MRl/KIp+UF/kA+P1sRU+ZjBH8sl7nuGSpKVbL4eoep3i5NoLrddaGk9jDz+S8vqJUHaxnMBBrsoq
PnT0QRcI2frHSXdfoE1Gh7zE6m4MLER6Gd8nXfqiT86MOBG4DGZd+FDzbq7Ml77JLiHDLifpQFHd
JliJKxorC5z2910YPbuRthv04rGpteDCMcuV14hllveXRoymIJ0uxym6FJ3SE6pFIwo/FWV7Dtqc
eRA5XHrRwCMuMveCh1bVLkD8YTG5VfBv2D1t8swKUC34E7dNM6tyS79KBcSV1gYYmMQmVBGB1c9u
GuoqXq5slBA0tKPMimFXtE4PA7xbD0UM+0cemX6YN4JRLhRX6a4q0k81zItVazYcn2t9W8s5XNp9
d4V0cKfHDHfpfp9vwxx6TwTgirWTz56pHTuYKSfVb/o8kdfUGRd3Z/Y78esofU8NFB3hipzT0rvM
SrGSMfpgxleOQxAianBWjj0zYCdgAaU6EznYymiCwvdZSlVFTRN6oqnTABON2mzJVoybLfIAR2UM
Y7TOK8yoPXNV7aZrQO8QPFLEs+vBwa3qKN5vZb1PyroqkIXlysMa8slppXXPrnFRKVMrE8LusdKM
feoWpzIeX8iFPYTIXUtleTWU73WGQQz9FAfspGywCVrYXvlheyQ6XcQBbKbqp7LC1z6jU8ukH3ec
uIoNlX8UnpPElFrsLTOKmaQByUQIqMAKKGjJJVLf2kYKlAi6Eah8UEKYBGN6EBiGDi2GwWJmXgR0
2QVDR0cdB6GpZIQpzQy3d9/iJth7YcDgHOuQdJu7AY9h2Wn30DT2eq72GeKjkHKf6MFZw3+YNym1
/Yo3dR6OAkOi1RWnTikTQfJcI5Tbjn50FJ1kuGTYlV5B05y5ZZyLUIYuAgGRqZ6sQ5kOh6HRr3Sl
acQwtvKD9mlQAsdGzJsIoyOZ5YxminNR43q0o/KAyHInEvqHaDW6fYwXUuCHJGwOa6mHw4Y4ErLb
bVM0jwFGSWR0pw7DZBhMN7meImDhS5+k4YaZ4EcyEls7KHaZjFx8ovlWKm1l5LS0kxBZuo5FVSzY
QwS8zpTqMtCrZYj7svf0J13JMOHPpisPP+YQ2rRwCGRhVCGAPWdPHGZ3TtcvS9yaJvnhZefmJzqK
LzP2zUGjNoaNM8XKmRPfapSlE/Atg4zmem78p0gnP7Jwvlg9TSX4TF061xu3QPs5jQhAmdXD/SPT
g4cbVBBsGFtkoRpw2DAMzwKLqK90orB3TgM04XXkYRpVylE4rJcaDtKq8C5rJSV1hxEhHZrSCF9p
ZHTHERmShakUaOztrD5CC8Npiem0AFJMrIt0r/Y4YkK1DONSpw1Nt5J5PVypppKmRkqfKvCoVkqo
Whv2JleK1crNXkqcq5OXtWxU612CjTXJy2HVSOMBoNZFha+VjAUmQe26j6SxNMWdE3QoHuY3Gp23
M6WtY26jftVxwJZZftJU7NKv0rXAEgsedOtgjRVKHxu36H+GGqVsglvWNIOPRMlmwVzoRPhV243h
KMMoUdLipnUquyaxh67WVOJaGei7JuuemiG6rTDbThhufUy3uVLejrhvc/apvOa7YEof2yrs96O4
YoO9ipHmmrEEh5uNtGCL84BWN9Lx67qy32nYKNrZ3deNvJ5TY1cj5M1RGGrK0BvC0+o78zZR7l6d
g8TKrVUJ1xjYHMpT80X1S0ER7W+nDMB2pmTAgGMOZk7mJGObtgkridEdtl/k9nw752MFxHEha14S
5c5dTeTCCXLvyiVvAX+Os9mssdM1e/qyQd+Pi77L3sD5roXM4w0rDIg/Tuir0lQFyYCyebvzQ+L0
o6JFF73XX5Bl5wCpTZ/zugHVyGBnMuEAsWJOklRCican6WNPHmilT7KGw+XmGyNsHG2RxZL5hCw4
0s8oz3lltE8xpNmQw1+t0TUY7OtmyOeL1J2p1A5w4iPq4+gWy2FOV8gcj9AhL7DLXJlushFjvHZM
5joq/yao6kNX0UVzLI6Lqdutc6N68nFWKzzUujYaBA4JBxrhY5pv27c+RmqfuM+ork/9AKqwjFbo
ljYtLm3UNndwyqaV64SvPFkfdKvewdY86/b44cfWgRlBtu0hJKvIKpaNZj2Vs31wouyENM5aSicj
8wAiq4Tv1bFEU90Cr1aDZdftVZoUN22DbJF+wb4M5NEeox2jHYsgKfeZh+mi0JNV5JC9lbF17Q3Z
bUt0mQgD4pw8v8uxlSwzLTno0bDXde3kCWPJVmhrjtW+9b2tloT7wKkODCA/SmEd0ty4qC1WWsvF
zFW++/G8jpPgevTZKUzg1mY/XNdNtLSr9iMLvaOW58uGm27EvNZ56bu0dLJrXr4v9OgGGP5amtHS
E/G0sDKmKUf9tkmIWrU5Y0ho5hh9DdaocTZ+jwhcxWw7hpfa2NhlnfkEQWOZxsa4sWGoW/RW2FpQ
ZsnTiqd78pRaFEQMGwsxvSEvoXTYBSkCoPjB8/yt5c5Xeo+zLmmNu2mgcROXjwUzWisrQ/uj9dEn
vy765RgPHY0I65IZiks/sF5GvZVraA1r4Tvb2Iv2XqR7myDA15fMH+VkX7YlLXOe7+1RmtwsQTHY
TJc7jChMpbH2J+meCw7fuejW6LUkMWz9OhXaMW1J4WqBtWkajVENOzQWdQNzC7r3sz0As/R40oAm
G+kkuxAFmagY7fm61OQzIT1/U0bVkw4lbqHLbpM0fQpHjFft+sYOwDMJW7iHfeGFu6BmxoO21ank
yJtQnjlrZn0ojaBamZIxmKrOPtMzatgiwu0W/NcEoN/oq9sgGgGjz9l+cAASTm2HY02t2rZ4Gg2+
aDENkFU9ggesJnFpJNFlMiRLEQs0xuHcHEuQc0R0rUeTEOPFUPvXXpM+gxEVO/V1RzBHTyNnNQdd
Yj27YXubl+LaGMbo6Fk540zlPij1O5NZ27mwdTiG3TbQCwDmybEK9G3nUMII7OwzzUFCFhbZQMu9
I05zETHBnPSSfeYwrhuzfZqM6sYbKxX2dy5jI7jMnHgDpHliHip+qFLvWYzWDViv4mBbcc7EriR4
3IrnOfP2KF61JbnwfJv3/GKtMjbQ/dtVmYt+FwP5x5yogoXBl5DhaMQmx4iajOPa/ZpETCyprc2v
CcXvTny/CB78lCVWiQDpSQQ0rPGQg39OBJiRrpPZzKNzXJI6z0/NPC48cfv3F/lFuoGL4DWkVquK
rOoU910rIPGxSmpNE531aa/lJ536nCbu2uFrp+gvo9c0Nb47DKo4Kq/FoRkioIEpCsaPl/EpGXMK
0Nm4m5+H4l6z/gvZ7he/n34KiWuC17xdP79XjTfJAttHes4HbrSd61PF/uP0/YvP4le/H84L7xBv
lAI2//j3Bw4GR8uusrPLucO+sn8Pdf/l+6PiuP9p5//5/fnpsIws0Ag1HqVnBqW1bJkYm9pZMZw2
fqTx6u9fyi8uhQNGMpMjbABP3k8fReoG+ky+Njnr8Y5RBGbDStgeYskyDOzg76+l/uyfXtYPH4u6
xb+7u3QjygjZpum5tJYACZCL8NVSMaR+8/cX+tWL+v7z/+lF5U7sFZ379UIW4/IIsMIN64haisv/
cq/94nsJXRu8oRK8WaapkjzfvSjLzs2ChTc/N9bGT1/7cW3773//cn51u313iZ9vt7mx2SvRCj/n
7mvsPwvt/+N2VlNSNBuZ2CLk8uNLQNBgt0IzIevzBLQAgEy/1+3+8ob+xZvEbIouVdxFJZp+GoTI
NToKrTSK8+y8Ds5lB2VCb//Ls+tXHzo3Me1SofA/qsb1/QfhhVmZT+6cnQG3QuVwK8rd1z0l4XJF
dffvP5FfXMvVeRkmaXrGuH9+ToY+IwVebOfnUJ2p1wjtKIc71aJgj3Xz5VL/thbV+N8fD93Va/v6
u2/68jX7+L//vYn6D3aUnz7+XPNUP/it5mmI39SnTQJLp8mo6pffGusG6SsyUS5tciqsns4z4FvJ
EzQ/OS2G74llQXwC6fRHe9H6DXwXES+d5zol1H/WXvR+vO1ZdyiNm0rTxprKRNrPmcfQzNm2dZZ5
qouqKp2jlgIUpl4u9IZJB/bHydnrTCvhrOwbHPOHbt4Y02Q4bMFICcHJTs9dUWmwapgMtu2cWdpE
m1aD2eSHDILU7WRBCOlGUR7zqC3e26AdLugxJrfCGOqDKGJKde3ofPhmJHaFcP0NHlLlLgTa/xJC
KfDYEtNCrIdyIbx0m5jGsJpRIr31yN8/a1Y035iNjDoIyITE8onZBmZsyETJajWatIpsnYnyKCS/
k2Wdf2cC9LwhCp+Gt3psJ0GzTR2jmvdzGfocc+gEQwcxmPYwuWCnc7jlNCuYIF5Ng1tMr8TU++u6
NtxB59tkCpK6YMIvpSzjdWZHVXyvxbPN6bJPHIc8j6xqDgIWkB27BxyYdJ21F33Wrme+vXTq2kUN
sthtSwY/cztc6X3t2Ye+tOpXdLmSgBi79wU5i0blK3scqVOUWxZzbShSJ2oY3qqYxc1sNL2zM5lT
XhVO/N7GaXhRIrecTzbV1L1buVF/g4PR2Ey1nc/WMuTGHE4ZAyq59m/Y4OvIl4o1/vUT4fK1ZF37
2Umvfubbw8A00dcZ7CodsKLCU6vMt6cB/wTV1GSjY+i/Dyx/exq4vxHLYWKZvgmNCQXk+ONp4P5m
2MLjXywV/iTC8E96IJZ65Hy3//kSNmDAUagwKEFohg9/XKHqqsmEjcjyXJYNsyscOha1R9qrtKd7
I662vsrFDWTN/bJ70zv/JZIjY8mjOAA+SFdVot17PVYnezrZM7BpG/S+6WOW0IPoLKFgTb57paeB
gY+mM5n90bfJ6J0Gyz4WWbF1A2/XxSYlBvQ6rqSzUgfo14i63Uq76DZMDX9oMj+APIGa24vg5Ei0
O0z5+wu3stcTTXaqOvqW8MFetwEDlKb74JTWFaWAs03oFJBS3gMk71MAPdPWH2HmTLZ3ncbBbcCB
MbfB2082veUgpdE9teJjKIL4NM9d+Zq3XGey++2s0fq2INSRW9xRxtA3wWhQBE6HkPJopAOlCMqL
Tg+StYl8b9GZfEmTsFpGqb3xqvQtYEyknfjTy76hQV1D3C4wJ48ztAxHR57OxE+d50zLtHS+m3BV
i9TYo4Q/YB6MLgxYdD7dH+TEmNL8hB5DQjvXG+RtZUSS2dW6XdJL4lV4teApLff50PG4mmlx242d
7inYX5IjwbmRM7LQ+i9N4N7FGnT4SLN2YvI/OLfkC6Zl0CvIbNXQ5AHdCnxMEzymQ78hBZjpd3RH
YN6P9p6qzrgSQXlDqnQ3QhhchjYKhmBuqmURNT4sS7qymKfjRRkjxaNAsJ7DaFpXfipwhyTvtUHJ
pq9Q07XarKgohkvkKmGmF/YRVMJwpRGx3fSD7iVsAM0MuYef72Wn2TsCVMNy0NxkX7o2vi9BNEsQ
NeC0Gm/bwk6rXd0EhX/rgqu7MGT4KdCKcu0yw3TBcz9aGmm9r6vgjgYOQ3etuRMawQ12hOsm7Ox1
zwCZ2+fFIXfrU9Nkn4sRRaKYB+LH/VPZUDCWc/TQmRWQQsuzlr1fPvVMfK2dZj52+XjMMl2ANYmv
59aFKFgEW9Vqzxm5mnztoR0MfSmGeReb1DJkIM4O6diOh7UdkRrGnlIsyMduY8c8ppKQie61L3Pp
n3s9ufdG+mKZ7e8Ds7K3dGayZWxU0bqm9b0hoYPPOjmFgbYc0yBc6553ylNv17JlXw6O9inyo3sg
aBVpmQDIh6l/sqLyoU/cFSOOpNrwC732tb3WDO25FxQ6h9Y9WWNFLg7527VMxEtb4jownE/O3Bwo
xl3OhjgE0czQSmGfx6IwT3mdbVOdinfpyIM11kuE2/pCM8ObPtA7xhWnF9O5S7S1mNxDGUUbD3vc
wg8ZzsoxA0e9YyzaJL1G76MtzaJ+LrX2JiamtKS4fRVialtKq11ZAyDEKF5rmtzNyvXDhDzSjxpO
fZ0wpRV6JyblkH4kZ+J9y07wqZtQ/HtnDLZJNr94sm83LbQXSczQJquaarGCslTHbpj3Xhm9IXgh
PGAYDKsPHjH0+LZN7TcP39yqGxt6KJXzEGjw/4zM50tchMSSw5bUNs9CojXpuG1y2IJfyej/7sHV
UfKvV9wrlO6vzZ/XXPVTf6y5TEZgsqKhr4Yf2Ot+t+YSbSV1wP4bpPyXlOq3HbiyyfJPBnsguPbG
l6GJbwE/7zcGKUzGa77m+9jS/4PcAQmHn9dc4gugW9VgBIxPsgc/rrkiDHLyqJNxtlOGB3akvM1F
5VbJKfbTpZibazecH31ABSZqxO0QeI8a9Cd2hT5V9mDrMUcIcmgkpFQC1Cvqa9kXEA70Q+dTfc/G
vTU2q/n/sXcmzXFbaZT9Kx29hwPzENHdCyBnMpkcxWGDIEUS84yHB+DX94Fk2ZQsq9oRteiFV1Wy
ROZA5nvfcO+5YmelymMVRYcw2hDCc9JSLzpyMruBbU3eytGY1mUdu1p7ml9zE1L3JKzMJyfoESlt
vnYNhcg/2T/OFWgbHRqTYQ2XieyNdQOygb9Xz+ZhZAHNssxkouYLJ/9UKgKDZ6u+JTUJn7P+6hLr
DV0kI5VVH28Kd5QYJMxHOSn37QxFYUTilLo2xtXZuyjtaTpTzOza1qYl8QdzwogxEQo4/5B0WysU
KMVmSCODtiL0A8+snqCyD028u3HbMKo1PqvZg4UCsLNxNmA5sWS7sxemf+j07UoacjIDKyMThd07
2eOrGkUuqy6j9561BPYocbnYUEBkxABHymyHZbVZQ1OBSWSO9Vpd4rBoUpbRLqRWFeAWq+6hhdSR
LA6ISPZX7PThp8x5ezVURooNFwJm7XC26ktcbtdCJYsbiJZFmVHtN/ZDNbe6j0RQrs3WdP1qSe3t
RYwV0auKdeiFiEAdOV0hlzF99vLqKgW7FVd2dfCYkSPIM5MjAqd0JT3RHeJocLZjG00+A26w/w2y
aSIUsVuCLXvXvcrdNnEjgiYLo51mKy8DUfQ+aXLNekCh5msNRViCFGRnqvabp1SWLxBzrllc69SH
5j5XBURNK80vXYOaR+tK1MzKlKw98nG3Zm4QpDJ01taNm7di1LytNeWIq1slv3TmKjrwziGcDmX5
7FasofUpUXehCmG9g9lJsiX0R0Prs5a2jADTAgH3Sz0RAVEB0/U7i1O3d5X2TDqVPIukaLdejEyG
CCNjW/d2vuaHR+RiZ70nTJhI4IrfNfw5W/IoGR+rc4FQxKtjrjrXfFELOClEx3HPFYlDEBN7g6Y2
h3UYSU3hWZY2blWRv/CZiw4t9+VOzlnZr2OSftT1aLgjlxdXx3sOs2fnomm/qjSoPtDru7Me5R6i
gzoJWnW8zRUtQvdBVG+5hPZWpPdOihcF6hwS+IZojeoDSA9Zv0rU3OdL+G+4xADHxUxk3RINnKqE
BDukBWukBqdLfPCEfNPXl0hhFnYo6GqWJLO4wkvo+paNgJ3YvGbvCRvn/vAk1HAjl6TikchimZJd
bBFijIfogLbmYbSlszWWnGMAaMsh4h15K/aCKOSKz6kiluK8cG9V17psCE2ucT77JTHKgNo/68Qq
D7lCL92Ol/3cunuX6OVq7m46wjmbL5nMPZdwQ0wzgWmJTyFC7qkOOQH2DPU/+TQy6iia4usIro7v
LMnPIicD2lLn5zFNCWIgHjohJjojLto15FEZDRSSS5L0uGRKY91hk5eQM22ii3hJ3bJ8srM+3UXG
wO7SxJ8+Np55QJ9q+Sbh2L5pFS9eZ3FmqaJkK9RcVlK5sbtObtMsSw4Ri29/rEiDz5gG8JSUnmg1
cqvqkTMprGR0VTCT9zs+Lldi+fDMahiuWFWlu7624nUK6nqrIv29zqO2Xrkk2LKWaokQTm36e2v0
trWpTes5jbHAsjfkhHGm7SimdB12icFStTDX3pzaLMit926KcOaa8x6VwElFN1IY6TlY/2JtSFWH
zmzkawMP7SYzu2QTO5a6RY1MQhdGpJ1ujziva5bFcT6zwkz0rW6MHPUpzzYu+NTqkhoqL0lbtOM8
xyzEKaU2obaVJa/UagdrIfhEsEo1e6sQtuqnBUCGBigdXgcKe44p8XWy+W+ps+RK/H2pc/P8meg6
hgs/Q8nwlX+UO/gZlmpCdchh+TpV/GPEoDFIADj27W/4qj9HDI5hcysvM0Dmi8wRPowYVMogXIKW
ywfnHw4c9UXj+eOIAbw8z85STbigPyYQGOlQdujb5GnMXXoekdQbdq/puk4HQhXHfoMLsONzaZnD
o0yLsxqPOhJp1/FJmUyCcIqgUJeuRvSnTSg6g7ZiKp3AVhPlTO3nZyvU5wtP9G/SbkBaIhLw6zy8
gQVhH8uBa2cajIaP69BcsGJcp1H8qcfxJ9WSEDjPPRS9fjBb7T0bp08yLg6OmZ2aHAmIpu+8BGy1
l3I3JIVRo48APTADmFiNqtnBB4GSbFr2W+pgj7CVp2xQ3uSwxLiByQ9GCZyzrIrXBjKpn6lQQBgu
cjrCzpQZU4LBs1+mGBXp4gMhtXcgdJRY1JWYqk9xUV3pNuryCumkM5lc1gK+BCAaER2jZG/XxnXT
2Qi1wrd5UZ6Vl7aGRglH5EXp2Zt5TO+LBucgQvC4tG4HC6Cjmr5PkVmvkly/cokbRa3IDTZEHf1g
z9pAEAgm8jjfjD1J4I3H2dra000R9daqxwOyo8El2x0jwFothUO1BRu7IGk46MLUW3MsdivwK2B2
TOpVaKW4OdNr9H46g9mcy2si71lLAPdbFbGTbbMISioqmYx1OyHG7XUFGN03WTRu6a32Fvu5VWv0
CRqf1NqJEM38pzJSnOiod3Nxn3aWggeEUEXevmEORoNydhgTKhXLfe/QH4zxcIp7kHNG0fUOpMy+
857ahctY5JWjIFqnM05MLdwAjNBODmycgNsKOQfek01tyupYzHpyxxjhU0tuLE4Z7ymD/MUlDcBZ
mmBblFq0WFXcW6+UewOQbd2GAukCc5FW0+4UwfErVGmsx3AuMeJgwEXr3vhOx36rKz0QCLyXRjcc
RySwt/wGMMYCUbfElI+X5YSu3xWyvoVH/tKx0TpzMn1AZhO/1RrVwmxOKqo57ULBdMzgDR1GoVha
4Hi92LUibHc68rubxm5y4kOd8jbTUfrVWkLqtlnfVm6/6ntb8WfBZDpKrN1o46qGWcC1jFiS4IYJ
eZgXBorRjkFByvzaShDXsTxjlpGE9qGf1OcxrIMmlp/cCS+QUaoTBFRw+JHpUfWOprJXFE8+ZamU
iA6bcJW4fbkd6yr7nBlWt8vRihGc7h4yGY+7gZnJuu2X4OqWoYcP2LG9koYWnseILI7uMF10tH6k
DLBBdaqET2YxtBuSKgGr6iVYfHcm9lfDdIHBZ15/OYb/vY8Wp+ev7qPyf/hvbfncvv40hXr56m93
EjswzVjMcEtKnEUs0J8tOEswl+6bu4fAXPJG2Ox+u5Ms/oZlLiBOAHXfe+yM37jg3CWmBHSdg/j/
n7TgbJB/uJM46Jl1246lcSvphrr8/YcNuTdaSk0+dXyhZK4OapLljMu5vreXhc3wZXfTN32LwnJS
2OlE2bLfCWXTpXdI7lPKsWUDVC7LoLIBqQc9eFkSIblkXyS+Lo8iCGOsksYchnXtN1/XTAYkAEBU
X/ZPNJEty6j+y2bK7ckhaC3GV36pYJrw52hOb4sqH+44UVM9yDOVjGGNyDWM92m8qescNg8urx0m
b2JjLeF8KjXSOv0JJNmnuvBcBlFWPU+BWXIWBUrXlEEG+v7SyIb60Sia9FGxamvHCh5kljbkIeef
Frl+7qbJkTkuMbFFOBdR4CZ2GHiVDmxNLQIqToEOxykuHLscrgvdRolHPLaJILkcdkIJLW6Rxn3S
Kcdn8uW9avaHVtij77iJ5TCszJ1rRXOrGS52keyg7M+fC10xED+bU1cGk8ooTsciZaV8+jFrISd3
B6PfWlxHSrfCTzQ8Is3VNNpMOnYzJeq5XNPks5pjzTbMQ43zwphnD6g0HRkRt220dSgXrrp2SJ8M
r+yuPKdzCE+xNa6QzoxvC1lfeEZXy8tK4d28LJVowH7YqUD6o7ASzR5cqaDvSPT0Mcs7/Xb0RC4o
lQVDblmqSb5TjbJ3MIxBfd43WN/HQ+EkpnzDKhm9eThltsitQ+TUcYV+0EMU2CmEghQKaprMTbqH
2NDq9oSTzwtszuN/T64vXiUDXc+vT65DRYbBzxjCy5d+O7Zgqnjw2bAksaT/OgP8UEpbxNZzYvFD
ApbPgv7bsQVDmCehOxwjqk4FzmHybXLo/GbCFfr6zSjR/+HgcBG9/ClWYlkHKhF5F3Ypk00etJbv
Ty0HXzvp6FN7mhQ24bWvC61h/gwInqVIXJ4S0z6y9o4vbKvd8kmwrpopYzEeqddGaF5nrXir1LoB
dxbjRxjOYkfbQNk9x+wXKAMK5lI7d0sN06UDHdwcX0BPnKvgTn1DFBcIHjYhfsUuVjYgv64oQO6c
CUDX2Adw/d9cBlcsydnUlPtMVKsYWz1dpLG33PgTovsA7OIVqSMXAt8MxoSLcSl4PXs8x2/EJ1vD
0RTdWUi8FV7ROm/li5f0x5A5CTbOJyPKt0PfH8rQZi3onQ1mA1YtvvAqxi8z1t+4vhAoRY0K/9Co
3zsmrSq6f48yV8GgmmrpBZnH60FQcHXzKlaHRy/pLuNYHCM5BQNDMRMBLs4HcOa0+957h5UD1IsU
eCnEYfbc55AwaHzG92k67JXOWw1Wdx1HM51wuirq2bfr9mbqJhYZY3KKLGcH6Galpfad1RW7eequ
C7d/KfWRWq28QH1wPtjFjmzxQ9FOO9GwWYN856T1BRcXCmdvb0TmtRM7tc8Yddc7JYONXB4z4Si+
NjUwx7JnozKvvdoO4iRk4QEAWSj9eaQXqzkagCiiinaU69Qb95oafjIXwIhnrO1ysSIjBg8X20Ec
qk3gFM0xcXOJ4aTBGUOq06pK7GeHcBGIbePWrS3K4rG+13VGZ4UcX0rLhqPWtrhN1t3kyZmBhdum
OxQe8b6v2PiczHmGJJKi0ze2RKCy5tEkP/2ltl+K/KoR+XJaXmdVXx9KQtSDbmkKtFwzjiiOh9Uw
QX7JR1gtHgKNFfKG9FrXdFQhoOrxWezSEsct+2GSxZdGpNSJwtGW5gR/drPul4ZFLK0LZi5iBOhm
EnNqVoRJEcFg2NlmXpqeqm6Yv9IHsUeFk2Izw07pkRJ3QqmVvsulefIU/Vahm6pcY0WVe5p1a2PS
bcGekauMJsakFWMHdmSacq8gWUmP7dKy8W9p3mr83wb9XLL0dVXxSS6NHsvgHvU1zd+8tIFpbb5E
2ON8dWkR6w7fa4fLn7EyFoExffXgx/mDKYpgWJrMTHffotp7Kif9DqjwG8+fuWilQsVcWlSjputk
qFOvrBJaFytzfAm1tqvpbUmXOQ30uqy0Ppnj9C4c9ZDSC5tVnGxGBSsLXXIyI2Yv8uZiovLZFEsr
rS9NdUV3XdYxcZhsKNd6PBgrYQKDI2fwgRQj3uWmeFUql6XliNvXYd+xSbNxHyrQPUl/C7x5YKnA
DhMZ+ilRnZcFPDmaCOPaseD31rFps4iFd+KcRW+rsAjBUVQzsmoMfRtW+kOPYYQkN4dVOQvsSHS+
sJOHKTL45or5OQmbYmWz0WAs8KKIdgWHcQrGUMWvGd4bNFIYoDu+gWAggWWBWYEeQKmC393Wt7E0
ipWaEm2Mow+dZhg+GAy8CbwJHX6/jA2qh8b3PMlHNMkmdrt8LFtAIzw9471Q9XE7hBHxYXh1kiyB
oV00e7xBNs9tONRudxoLZpUTeAa3MPYyVi9iKrZSVQ+9dPG6KZ7nJ8q02M3H8yxWb2TUn1llfKtN
jkokCl61NiV7wpTGyh6V84S9MTqo7A6KLbO9onZWOVAAcRPHWblpZRfFgVKFpj80vRooRNvuTXpq
xsGmX6qussXKyOaihB1ZdgWZV0I/kJl1VS/wEkcb86uEXJPg31rkay3yS8nQDZToTftcfk66zz8b
7H2vHSLBx3FRpDs2ZQklxx/ViPEboiE2iKT50CgtK85v1YjzG8RHagPvz6/6sxqx4fMsVQRFypcI
oH+wx/zrWM91oJyTK7p8U/ZA3xcj4GZVNw3bGdzgfeOGuP5/r1b/VqG7fIc/yx3XWmjoqosd1dQ9
erQvg8UPTRqNv12PtaGdSEbxW5VQloTdz+sw7D4Ug5dfv+NHfuL3r+Svj/ODBoqioEaQY7GPXdA/
7bl0Xn/9AIsD/pevZFGhf3glEfs06Pi8En10OMDvHNYpTC48Ba3lsGZRHXTDYy12IrnsgR5ryRsN
XhRd6tVVXyJTAqjanNlWhH6lRAl/JdIbWcSrkcyRXz9TjYnwL58pv1gfn6mRKGEv2+W9gM/MYrGp
7wUf/UozT5L7I4Q9l0zvjsLGmv/r2r+fCn/7M1/mzn95Ahrw8SWOyqTK+aHGLd1I6wfVmU5wv+Ha
aF6bn2do5di61GZTBx5SMdy0rntoRwoAIa+1XNp0X0SlDaoyB61FTazX6DjJj1QPkilYu82LB70w
DjJUmTTrSqrdjUYB6zvzUpcNW++X5Gq0druvufmxGW60floN/bSN59Ngk5NB7s4iehU20PDRuyxI
GQKFG2K9BJETdbeoqY6EpZK4Z68GxP06SR6Q/gNnZomS1qvMuqXGaFY2m5UZfWgyaYRUiHNHLdYk
H03NQ5cyxCW5vZHlmdabVyDwUgIGBrT8d4WV+7UxG+vKu+1NewXNj4By1jBWEpm4MBoCI122RFWW
P/Z4JIoCxopnkRKSReZXuv/f/oQWZcWHn9AiGfzug/9jkIlMvC7tx24+qVtjF+7n8/7e2GIWPXW+
dt7vmqBdky0aTBsjOLQHwHer8VHZU8Rv1S39ySY9/vp3dvnw/OqYWLqmDx8uM6fmLZZfWYjSEHhL
uWrRqm0a9Wvz/Lcv/Ge/mR+Pox8OPDcp5jyOeRwFwt7t+NpEARpkhAfMRn79irTv3+KvJ9LHD8GP
4ylef2sAVj/FRkB61IjQCGGkLztGHEF0Qof86wf82QkICYuZGGBQpOE/nIAFohHHyQ39JNFglfPL
oFz++gF+dgB+fIAf3jtWLUyGIl0/dcNqEZlIJejG7D+8iv/0ID+cst7o2aSz8iDecDY3h96+1e2n
X7+On11JH1/HD8fjxF3dtoWlnwjcRl2HEMS+9tKLpZn48kD/7RnzMfncVl313v+v5Tt/ruqppTLv
/8/3f+y+/jl6qxZPw3d/WJc9pvwr8dZO12+dyPnSrx+I5V/+v/7l7wro26nGJfH8WiTlKun6Nvnc
68xWvjzC/vV//8/fQzQoY349qjk+928/K434wj8GNciqSWcCHbNkXpj2x9JI/w2dFnNdWIRsPj/O
l4nUZuEJ9W25XRaC4cdBDfUUt431XyqNPJ14bksHCeeAcfn+ROqEFE1hT/KkVpdtZK6n1Fl9eFMu
/1qy8Ex/OPOYjzMHIjwcXTnJ7t8/AiqNzBCOEKfOTEGaf1JUMpuuOnOnhcCYLzpt/evHw2fyHx5x
eUYfTtkFN5AwRRZ4PSG0uhM6ZZ98HL1gz1N1V7Kt3MPQIwW1MxLxOntjp8immnAkOrEveujvUWk/
jVR6exJb6TbQlay0rjJ8w43PrQrlmKtnQd2qr4OSvXuj8rCk1leabrIiZG2YRu0EsQrpjKHHbIdg
h/tFlEQwNuxtN+XJxrIcYxMRD7INp7EEOpXAUWiRfJRIcFiEJjeKdINaJNcuwy+QmJXvJMO50oT8
lFLQBKHLnF72K3NCI27LqxB9Nzx8Y1dV2uUQUzm46KrVJaQ7jc4I3fKFody1aHr8oXwaZuNydOLd
gCh2rfXdNumRQtXuIU6skfzFSuKtbzsk9dOxAhx54/QsAJj5M/G+qZDH7GzqmxSiwq4BU9NfzV8K
HlG0Y3XKucd7glSA085M7Dvw7KSdNC+Z6p7bNjoYk2gqJ9mPmQR7GwLOyC6m2b5nvYmaiWkyRnpj
0+rJZ3CgrzmKLlIezeNYm4dQN1ZDVp/3RF4BC9pPRnKpzk1QhhDmx+mcLfa5cEl47OdCDSJLnnWD
et+g5jfNatGwzXdWTi1CtnJ2kYjyssx6lMzyIpuzgwrq2R9rm0Vcj24OMhviZqiDaLLydZc6d7A3
WtixarTRi1rshZA9ghUdEWTSTOf5VFmbztXP8oLphzyZsXvdCZANWozHII7bjQauIMyTS1EqN3Io
NzHxSX61aFoSD1hB/+rE4GM0O73SI7n2RCH8eNRAoSxV1HTVi4oRPHW/Lc2tbIeNCkW0B0ZfaCrR
1tXNXJqXRdiQcT8i3OnzbLgep/gac9S+JRnUrd0H0KHQ1awW/ILCfZ2076Ux8NvkocbBPD5TIWIK
BtwwvKlklJWAShoTDhknGHAbQFCGkRBxI6HaRZcAe4+mlaJFLrajaq2Jsw/EGJ51XQXVH9zM3C/c
kQv8HCtdKnvVsK8mN2KMlDAQM8xww9r+k0kmsc4nBIUfRN7SyqddJnEBtDlLbeYlvjEph6ybb9l2
IJDIe4ZM1U1KmD2TTX6t2eaDgdGfPZE+p457rIhk8+ETZIHs2gllnWQBHg7u7ssx89++9bZv1eLI
676/5f5/vvRMLsJfXnpYDYEazn+9Lpev/OPW036zWFZZ9PzY7slo+jAQIP1QA9zEVvMbDf7PgQDH
0mLg/p3ay13xbSBg/0ataaFD1NDn4eL/R1tVSpzv7gi+Ex5FEDu2jf2RZcSPZiIvVCo7cl0gKcxr
cQ3CUWl1tB/5WN4n+OzW5Dtpfqcjx8gzB46g1e8bSwOprnKNFIU8QLIwEDrDce9VsYuqaE0Kp4Wo
hXuiKkW6WfRxqZO+yLAdWVmyLBhKpBT5wohxFlqMUk/eZdwUd9ZCk2mkMZFICBknY+4d9VWgJvfA
UG4LipiTo4VKUI2aJPMX+odKfNChyOP70ETTmnnelZv1o8807E1TWrGJdEXeAs7cUZWcpfU4bdSx
XCvdeN1oqJuqOt8T3nQxYBQhhWlrqV1KiihOEGeJw2MY2E7VsbNABke9sc0ADgRh1H2eGFtziUbD
2pmnNjCScBslzQ3CiQ0UU5AtcCa6tk32Q+48aUugoRzlxbAQNNwZYhuwDU4IFMtwYFdjJmJSyxdJ
0XwdRtq0sxSNt0Ykw1meAEctrOgCV8PBczN01zk75F55TdOciWNDWklUJVs5S8LOQ4c0nCEzOWph
L4vZ2Iic1XEE+N0gkY8ISaYSvXHNmB3VzqvuVu8O306AYOZbgS2Lte45BlOLNshJIJ/1q5TAWp9M
Ho1JuO6z2qbjzU2gZVMHqdS7puWvLptCOzZjOq7VRqtBPVXdirJN32KevDVnoG7Z4K1cxbrDWu0d
miFlx8Io3W7CC1SWA6uobAPQ5qyr+ksZcmvlKCBlualY1hKbntx7ZmduSyqRIOwYonh5s5kT5zg1
0wOD+Y1ZDk+mnKDaGMP10ClcHrN845FHpL752+A02glRF426Nl2mo4vEKouPHlvv88FoX6D7OX7f
ajpjaQqeWCmcdeOwyV5PZdes1XljLQUS89v6IhoU51Av5dP4pZJyvlRVRs2ggdi0V+4WeRgsA6yK
s2nrcbdsjifLQOQVto+eCQHMnErqn5qHYPTPimHXyolUIou32AWPqhTxfGfUleabOgs4o3Zu3MY+
67XpLY+bbEUCynUextGZPQ/ruRgudIh4mgeCJLNB9pdd/JrOtccux3mlQ4yo1UBEWQOkhErrrvqm
4i1ujyFVyMrBr3uonBY9GMupJiOKDJcqv+Gu8LVx4itG7GmoSKdNqoXveR1e5iCGVmbRq+wiBH4e
QTMdzvlZo4P9nVW72UViBg08oKcrDzLV2fyH+mOKvJm05r4/j01FPRrMq95UNcxuK5WYx3xwySPS
8hgh67+305eJtcnI5Be3U/zc9c8/uZn4qg83E+QRBF/oO1UwKvTNH0bV6uJ1QWQK0cNdcNu/30xf
mPEmKPnleqIxW1q1328m3Dg6yiF7Mbr+7qL/1pj+3h3R0/7t5Mb668wKkgRPghvSYlFP6OIP3cvy
4HXe5FhRnRQQLwsjzZSfQH9gy2uUUx3TIXQEIGU5KNx2wgs2IfkGF9uxrHTfKrFkI3m3lHqgjjTm
bWjOSbQGBck6cOfmYmP34Rr1+U5K/heLKDOOYgXR5rGz4CEnlFkGYVLd2DzHTnqcevHmpPFasosl
lxzvjVZz7Jmf0U1to8mDB9pVWaAkhdildbtrPe+sI6qtYuk4A7NCixcDkxjgPlV3Di2f1GMBrdFM
GFnqzznjcl1VH1hyWxsnDEVQI0LdtloekXVKOpxpdwcW98PGDeuzXicWzkjXWZzehAPr0NEw5Hqo
gV6T1+B3br2RdqFCH8RkZDioBWZX8sEstdLnfDt5Rv6Kw6TeTjqznSTCYqtM4W2bV3zMSZZVS0k+
a5ceMxMmWBLpGQaNOg/i2mFCOlYTAld3jX/kEFs94X8yv4PxqRwKkFDQlYhwZ1dYut4BeRObUKs/
eqV+28Riq/fjFX2eshZLJhsxSKyyXLweS0agXl6R91H4pus9pql2PXU151JYEUyRGwVQU+N2LpLH
DIKdzDnPE5dWxUiAQcImTBv1faGO7tJ5NFd6IqY1hiJUUqEBBTa+j1Oef4QdEnUFMiYbqpSwSWmr
S8NcFx1CizRDIZCvZIRtNOnI3eg1m+qDx1EZXE+A3aloyLGZiuuxxXVbuTXNggFkKsLy0pQ9cL7J
IwEWpX2Q405aacC0t0UlTlXl3ltayM+9w0mpjQ3hHfWjJpJzMp3P2wRSmBJppMfYXIymjonE62DD
IsglpqOvt6FRXZQg0xrEWJQsLPmiLrlQ0+qRMJ5k0+QkroD5JG6+pC/iicqBykHLh12jqZe63gW1
JYtdpoVnbST2XVnfCWXYVl15jKtqY9ojHNQiQSDdDR6MPomOLo/VlasODyStvXUDepN03MqknrDW
NEDm7Qq+E69qci4rWvAg84YbN8s3PbTF+aIfjqGSbCbV20djedKs8lIfwh1xdCdF2MgwFkbvUjoK
eEF0dPNKn1v4oNQ3/IImYQDVPUTPbPOW803LwqoDhPMFwXg0Y4U6vMfZmK3GwnAW/zYf1ax7Gdmz
yspFjjGKfaU0aRAKz9tqpbWPNehoM7TKFusS2Hvo9OOWEELK1dEIAyxNcuMpLg03mSfRGPeHKsxS
Vujmq4BrsxFx9loZwwMCwc+zI9M1yGoQR4a8nETKDCCxWVD3dr/mOBqMgBg8oGlwzPozzp7FLgd6
PhkbNAtl0e+tkiZyY4jatu6wB7vuNkbPDjUQ8UIkmxL/ijO2MyJiTOtrt1RMtN2Dbrg7xEsTfFMD
PfSFUhaTuPFUQK430msV40yMojqTVpnHDzj19OGU9fWuiij+6pTuvTIzc5MkUO8a3DlaG113oYGX
OxsPplmKTau0iEYU+8wiTGZlkYGLl8f+3FRVxzDAxsGcmg+ZgvMvJufG19TZPhgVv8xZ6bJaMjHJ
TVb1VIfmc5y2+qp32ZAYc/OOdmMgVbtiiFCSEKWquMXaHm3ylI3Hqe5WY+Klm6xWjmbZXimhOCvc
6mlI5PtMfy5HFuudhmQzqkmJ6ozxQI6gpUrMuk79nAA6tJNQ+r2OecdgL0uVK29UPb0IOyiD6fSY
x/r7rKl8l8h6z4aCzX2yUuaDPo3pyrTI9oza6wzzoq/GKmIrKJRneewc1SyHsDJWzzKa97FhEEOp
jHDMk5mIEL24sJ1sXiF1phNRlCudG3MloQUzhBHHWZ2YWI1hwLtQ75wSmFxH9OeWACLOdiT9jpc4
8AvRahFod9tnq9mK7vWWYB/XTEPEWPRUbuZJHhyZg5d5O2P20J1gylgZCK8C6TJmKsZarlHkn9cu
fgCiUhF5aM4pkeVR5A6WBhzoHrDqruiozfpn25PTGrfezUTnQwVJdxZ6XCBWKu5CgfNQyPK+yqtD
qmQ8RzE/iMaLN3zqTH4H0GijzlWCturfOs+744DeqDX7viLufT0ydkZa3TUDMIDEGQN843v6ucsB
uZBnVS8JFx1pq+qFqZJWavG5G0ozRPemtYGltlCSB66EXka+biEFibNs71nTEoFbBqmrN9vOSmSQ
mN0pS8Qllcim1PtPQ4FCJmsorYXOL6Awx3WmFgOkU7dZeRkgRpx5ceDQqqzsbCC8XNG2NhPJfc8b
GnRxflLrLvVdpz8IwhIgXXsHpxvvcoiuROZyCXJkbZRkjraK1OBcenZAJAw6Kj5pZ5Gm4+PAc690
CPX6UiUUTcdUNuDhItm0CSEqG3vTTC5jkTL2rUhYLJmpcchxwFlyNxc6HwnLvdTbYUYXhZTFrsbP
rEfvwcNhN3A+z6bxebTVTd1hPM0i4s1re9UD0AiL+kGt3J1htjeSoZuRKiS/Thm5DvGZ3srnqMi3
wtHfvGw+QLS4mjUAU16v3pTmcogrFtox2Nz/lt1fy25m7L8ou5O3tv1Z2c1X/VF243RHzIG4zbV+
V57+UXbjCrNYdlBhwqKCbfhH2W14v6Gvdx0XATxDX8vjG34bCHm/oQxhdeEwKtcJiPf+icz+J9Yv
nO7oLHGSmSoYui9l+YelwWzERaxXiXoyXBXxQDFDYdWequgVxtNsoSdo7fIcBvDCmfL0c1nz31vd
OdlaeRJNDYg+us4F2bDdTCqzAkkhix/K1tpCrro2SvdYEz/nd86jZptI4EcQS0521lsOKNSOYake
ibt6LG/RDJC85Kl50IDvXQEBfYS0xFmrn1nYLAuteZ6hs2vp/KCbCkHiY08pWq6JnXWCbE52HQsd
Py3nBy1ydjLO4EZn/TLtf0yL8m52q3MvbR6g/RQYTvR3hVOvacWnTCtIxRXWhiS6zezMl4lHjckr
29YeKF9Kq5Wb9Dbsf248J5T7Hp0jdbBLwqy5dRpl03aDS13rfmokjUkNqHo/i0zzQWWfpWqOR0gq
OwjhjGmSNkR7T1i1Oe51bfBlbV/LWlyDB2nvcmt6zmumMjYemyhW79XCOiOEqghqdTwC8bWQPzrK
2krLXT9g/RmFODPNbm97mI6b0DpM2is52U9RKO4m1yLmzcT8SR/wlKkdAvrGOEI0fTMcRjCepd19
8Tn8X/bOa7mNJEvDr9Kx96Uoby52Ixae3lOkbiogkirvfT39fknTTQOpRwN2BDZiOBczI0oFIJF5
8pjfdLLeAvt1F3XleQDyW5Mm27AKq2Fp2908xwekqVgzz4v1WTd4IVosiM235TE+Xoo/d60wW9YG
85ODOgsGjEdyud7LbBwaastBJ1atsTkuMrkkb3vk7lePPP64Lbq9sDbUmhgtmP79I+s/QUdkRsfJ
n3k+Hf1cd46SpqApg2hAKtQDJKEjoOlwxDG25X91+D4jNmAK1QEnKn6I3iepezgbhDKBJTQKPCM6
t8Z8OMDU6VjyVXtaY4SA6AO5puTfxL1+mwrNg7ZvL2jQoCkg9BD0wrgPEUggZXgYazrqLdIJnokc
AnKFR7JQVYgq9aAUOguhUFzQjfa0f9RgcKKV7pe3dmTUC03SY7Qd7duhVqNJruPHDv/2noEJTX/U
Z9k51A2p0HyQhfpD7EnH3m3c4jvj7aM9e6+jFGGgGKFi5E2b9MBM02WY5Wf4HWJ8jMZErsMtMVGd
wLgc/jTzKk82v7o5F4HBn9hK99Ubi7MA5YpBl6rDrrpNDQP88yBlB1BnxmDGo/qJjMOnxFSLvg0p
ueRX07js20nT8Y1jzX4O5dHbi3z/YMT1CBDmfo8LElJ55TQGFyovALKXd/+5Vx7vFeOX98o1A/lm
08Ui/tnLxaLY2J2JiA3hB+ThawkVjAMZTDEnNyB3PY3eXyYN+hfkylC2QkhFCJu9JkJo+MDoKp4u
mhizi1+969/8sp/zfs4g1Fjo+3O9ITyM5eTbbk4vQ8wpy7Q5HslNiLMi2FO+J0/9vp+2jVQW4NWU
nXkGOEq6VqDRkG/TeMm3r4NrCVZnDL6Pq3mypohVLhjaTmgiTPE8XZGQEUjmydKal/N0YuzrC22u
rtzp3+FaQCJ8fCNMafBERGRZVcHFvX0jCuONwgz1/FhuDOcKXTEEGhL0RMYVwyCDmUGdNvoehuHj
RajCf1ZMBY6CbXm3eRaClKOhdKBYCe0JqzT6U3/QzrUha8lgBw+NijYKK+1b2xemTT+3aFs6tJk+
a3U0E8xIioEFxUAKgjzP1HnWxZhF2JIHUw2Zr/QGCDSMUHss5VmV3hmx3h1beh6f6A25/FTJo3hY
ZG6vwdBtsKKq8CGxgi7TTuRWMaLDNg5PyjrqJmil9lPfOdUU+cGo8vu08BZuJV9aOJCnWLsYkpkt
VTodzHgQGuFWcRLq7WTPHQD0axEer1WpzOKh+OGjIMH0/FhR8x+N1l5A2wZmp5fhrRUxT3C8qDmS
rLwEu2+Y+3HgkEhguTuOKvAnSdJ+6GFFY90FmZ3WRT5PWkh7QSwZ6CMInJ9zXKUVCH/VbmfIXqnL
OrWuBkW6iXGsmWWhz7Cnrj2Vux6wAtvTTeYqKdAcsVgeUePoEJnlVanXKE+aduqfV8wC5o2llOQc
cn+jx8HAKqoZ2U0Efl2XSjoljHQKswZQIMFreZVbbgCUPLLwX6HodI66JWyhTUPgbpFffrvFjJ5p
NvyB7NhVvX3EWvpp5BXuJO906kArcuZF6woAgVmSyNnykWeVGGiyNpir0EyzhmPHhfSLkdk3hP+d
RaUi+F7X+cK1x2+W4QJYdLlX3bH/WsS0L9SygLpbhdqs71zqOJ/i3sAFl77qEiLBNHRB+yMOSp7o
rEaN4kdVlzqI0Qm8TEGdQwcoSVch3bmMegWXtXzedd6hyjSGDgKjMPjZACHDasbhOe56R1sWXoiZ
nOZdeRgoUhkdNb2NJpmdL+WIL9hyClozcnjx66UV1qyvwsjj5BU/bVrP2GojuPpez1rqW6tskR09
Ljzt1nAp+xsvm42VtdKThtG6SyvCLPOJRU5ixDBCDD0dULtHXIA512EW2DdygLkow6gfCP0swJEe
qZl5JrvjneEV3xKcoCA2FPnBr9/426jz8X2/izrOqHZOnrjlsdyClSVyYPlcyilNaX9uZKSceuFR
wFDi/AcAoLO4v6j1MiaGm2o9/tXLlYxcqIZYEehb2+Dkv2MDGOSFdCxfhiUvIxYNJVEDYp6jWwqi
xNxjf9V6NpLDXGoCxM+FjHT071zJdAbf7nIRNRwx5QGwb6Nc+ngKXtV6GOTEeYRv1omqGRg9iQsB
YIvZ3JUhBuc69pSy0McDX87hVpxrt8aAwRUqeuC2vtdJfGEJfT1VVmdNXaO4h/ReI8l7FVJ8kdDk
K4U6X1C0M1dI9kWa8g2XahzFVeT8kqLYK1qIPGNwotXSHoYgRzBYJooQAgTNUmDcS7fJquxVilrg
2EkzC+mvujOzaYaeIIwvdxoH3bmq1bACkRw0ohSyoqSg1S1dSkKW0BUChSiSLDzXPIjDG0L0t05o
GYZGeF4JdUPUVBEBNA4SGd1DPK2Wg1BClHP9xBfaiJhfH4wg5Nq0ObAr9z53uoMAiKoqVBV1oa/o
pe5RJxQXgRrcdkgwkskra2ADQjDEJmSU1wFyjR6TI8o7rZiiXH/VI+nYCG3HDCmLKLKPBqH6qPAZ
XGQggzFfV0IXsnWjYN4JrUhfqEamyEe6QkeytJOrgbYeqMVviVCajJCc7O1iWT9qUGL+OGmRpbSR
p6QMPIlU9CoNhCsboWA5jM51aDqLBmlLhE+WstC6rBC9TIX6ZYsMJo6dFAXoYnYIZAa+gVKm0Mws
nOi6ECqaUVTfGMhqIt7CnSmENhHcVBXNO/QjkAo+xVqKKCeTjnqqINNZudQgFcKdKgKeslDypNPm
7Hdmk88hot/jqHnhucMSLbV+nmTJ/pCpjzi9h17PRXUBMLH+yp+t0oxbWm9tm6FaUE38sD5lRhUf
On1yaR5mSoQqNp44Jr2TGdJpPu3L6getglVolfhv0QQkz/Yw44iOlKaY51lDwzdq20krVRdKWy7R
mr7VB2XpeHDEkSllgIdrWp2RWqVpAonDHxaQBxd6PcbTERr74EP01NHkoedQkpLgdRcmbj1nxrBU
vewgMvRF7ABni5DD0KNuP/TrcOqXw3HpsPa6e1ADqeFCC6zhjjum/OqntSDVOzhrmsiAnas5Emne
xC4T6UymeXKOnBSlnNIHcGrlRST5qPip7o/IwzOI1BuJOeadcmHtW2l/XZnl9zrCYjbPsjPLc5aS
H50pwF5sjJqmTHNneQ+7X7NaFGbkcmEb9bGixTofLp8XFrAArQ9x5uv1ue/qHfId1jgNcRmc5kEy
qyHyauaw7k11ho3oN9u157IzXPFFcxGG0t4QSIdp4S/9SNpLnYzUFLnZEFszyV2FyYBNEApxPRjO
QR/3NXyElKKc+cbgYXHcL9rEBr8QhIdWUERMKdSJ01vLjplQkid8Ide1sG3sG+HoRGrRoIuLVl+U
WrMhqWZ+4NwkoUgfSv+wRTtixiDLWfSJCWcwSldOIR+TF95VwAhlXNCG3oJCrDuChXmEeM0eguDw
MlS04NSu47vFtViC8FOVd03ZnoAjmVWhfikHHmOIoTwcI8tEWiid6xFKsDIT2wIZPdJG+cJo3IfC
FB6nbbJXI28Awbdd0Zjqp1IBNlRLTl15hN1N/hMGQKLsAKlAvTnqrPSgxyZpkkToTHr2LbZFE7CO
wkuambe8dKzmlNHTV1nN91y9X6BxYc2jMCb+9ak0yc3sXGucehqMJV52NHS8cCWIkXnQHrvmeMlo
Z1Ko9ZmrNvtl0U7Mgh5cT5+GxHphmuVcw3WQ8U87q1C2IwprC8eoD+R0XNgpnSIH4EaRy99jt1KZ
vzTfNPjI047O555ieaeKIMV63pky2oeOPbTTEVewhTl2+7IZIQMDHibKPdp5UiCI00aDKmB/qsXS
ghLkVHXsH2jNMfzLoQHX86q0JcZXaGJ0Un0y1PlpbdlXfdD408SA6dwnhjPvQzW+iRDrnHl5+yOs
mgOMo67jJqW7lB36DpDQpgzOm1FlRlz+MDwciBslP/b7flGE41WkqCMq8NE1EXhepcZZKbloNMvO
rWSWX/uiP4DHBY6gSSzQOfSOFBrtEFL93jjxwIrqdU0Y14c9twCVw/QZr6MV4nTRNUJ7HQAeZvAL
aay7qd3b81gO9pjAI7jcJeOsz/x7HXr/bGizXpRGa2ccT5Qy0SieLG/mqcqCsWAIDbr4YdVthFJH
dIT4EOES/PQMPNnXLFRPs0Q9B/eAsFKmY1pS3VGXz4Au72ODdVKZPQMK4ldp4RaQGulVP0jXeZ9d
xgEtqS7VZnkM1dwGDd9GmO7pow2mNtdmcRM2ZyUDa5zXrHClC4c8020TJIYU9MH+JpdV3zI3qOWh
UMIGUE0Dv1dQ+e+SWcRMFH1AgONEuUgmN8aiPS2m4ySZOuvL8+oI06Z5RlUfHBrLbuavsoW/b8At
P/KX/0lwn4YZLPivEtx4nW7gdOj8qz8TXNCtOPKi2UuT40lG489hhvqFhqmtIbyhaVSp5J4vPSf7
i/irQsQHwCnSHfSCXoYZJLhgYsWARFfp38Af/Y2ek2KLrtJfFbLYQRTINkp2JM3IiL8nvOp2EpYM
BYcTu/bKUysEuBEouXWTxbq6P3RRdDsotbWwoS8egR90J6jQ+CAO2/Hacrr6wpezeDmO2JzSU3fn
llTTNgoKf25zd8RCqboVCleG0LrS+pp/39J/m8Gr5R7MgP9JIGB6dSwmVe3XKzzQIojuMg3bFBFs
eRjRD0I771vi+94+fALcZqU6nIGlG4Dw2DnooOHaUTEGjbX14CbWfiMUvOpM6g7SCFWvMuv6aS+U
vvpYPoFgkoECiQgLZoFAKsJgmqkKlVKtRjE9HMWAOAyxoVM6HZpqMivG0RPiFbd+77moV7TTIMr3
QzTosbZLoz11dLppzcjo1FO8Gzka9oNGKxd6np4ZWYGGmVxLy9r0xv3Ra7R93+f2ibX4QJGKag8y
hTOTfV9fRnGqz1tVdVemwnAEAEK0XyQ5TI2sPRtLwmQeczuiEo89uGHgGogSgeo5x6EGOqkdWB2p
kfzzgAwa7XAFfjFKvrPB6vK9wq/2ERH5xnwJFbUYKQaw1eFcQdzf94qxpgjgC2NuW85i4QLgYgcQ
6hLETfwBeowCkkfHAOEdgD9SeNRjJ4D4CLoDspeBvQUn2YEggz5yYWrWWWJ52iTq+6WKPYFKo9/B
IRXPAlDTJwjjn2aYGcheZYH/CfZybA564XeANd/cFQ4IpvBCgMTvoVAPosVKk4MKwwRDOCdUZnfR
AqQGbk1kj4S/Aor0J2RtqxTjhRYDhrCn74Uhgy+cGUbh0WC65injjcWIeUMyBvXExM7BwReaLgwG
D+BJcgwfGCzia4kFBHMRfoMpRKKW37UOlwgHuwiM5pcZ9hGk+EI8IYc5K7wl6kcR9CIC0DtVRV2o
iwqRNjPFopv1h06X5pwKxHgPFWqBhksI3EDu4KhNW6w/9PBv3PtPMH6aAIBv/HkwvmzidflA4H3H
zDP4Vy/BGJU2x8ZBTBNtb6hQRNyXYPw4ANBkG7wjbS0cxv4KxuYXuglESFl0A56wni/BWHi3E6ch
31m6xjj2twYANBXeBWNeGHswmfeg0KxE64Dfv+o2eG4hF+xjRgBxhgld0HxDYYjGX4T6ltzGs6GM
BUQumA6ZexSUGFsbSoe0cNqeJlW2Z8FVQEsA61XhXlJJwQFwiiNM0LsJxeCFLEf3LbAiVDNahGQk
2C5up2JNzRTYlU1vmlSC5CB/7UbK90q/cQq0tm3f0fFbIyF2pHGBzaaE34nPLBEFE3SDIX1jCGrY
6bd8yK5aPwACX1e4eZjmdYlhTwpLonakr/h8HPimdQIr6KiN/EMmn9+qjOlG4FinYLXuYnL+ecIH
Az0fmEtGlfuNkt0mgzyghKYBScVpZFrE3Qrp6KtBzcs5HkwLXYc6pIZah+9EgP2tZN/jCGzMMAs5
rOr4Eg/baGp7xtyI7PMscO6Lyjll9AohHjAshi5hPXe77tjOW4J3eufW2a1bQOnN0jt6TPRZotKb
N2lnrSorOfVyhDWRrceX+lusooOTx3Y+60zK6i7P7jrFAQmDEGUywAvLVW2cDXqCT0jRllNEug5x
m90vdPcw9Qg2QV4uBgh0ctnte46z8lTjfBhb5L3DB8jfl1rggWocbxJvRLrF4k3yJTlyyVS7o+ZW
ZaSjcZo1kcqvjnyn/xFjxzdziaiZ7MrTpqS1g3DLV90zzvUaB3Q7iC51T/3RqGZL4Sn+udE0C11r
bhLqtioja4dmumhqjF3cpg6XDDZv4SlGCzVvwNEbOIbCcZmCNzAmMlcE5jYL2cqZ0Nrysqh9yoAo
p3zI+daQoO2mZB3o6AAQLfAIMYMKpmCVHwRuUuyPSYTXaYi+E52XcysmSU2NRVPo+LyPLmiBKBAm
Jj159liFpNbsOMOCZG2PbOKh4jtM1NzDZ3q8yLySV01t2ljtwpWbi9HW9oMOzK6loptdFS6lQQy5
o22iO2ryGxsbr4ll5t9lJUNhO3OnZdf3k04OICyWEGgkfyWnUjiTLIhwspwtTWpJRYYcj5o7viN+
h+duaz8kYXEIyKydgI/K56VT75ke9sBqA3fHS/qrrMDkRmW+wG5MJqZWf68abH/kUqEUHvPxNKE1
cKCnUTrrSQq9vVh1fG0WRd1XnJXLdl5KlR9cswxufaLWwkLZDAxtYbqJnF5akJ+zmV7nozZBVKLy
p2gpWqcSliNcekXgn2pF790G9JGqmC000X3dPc5x1Q1rsxHm48CqvJVvOd6FX8gS6r9GfybHEv4K
RYC4q8WdOsHikcrLNqtiD00lF+5l0Nf0qGQtxlNn0KZKF59hBNoXSznU1Juow3P0KE5zIVgV+xB4
TOtO9pomnEbmUIIygMPiIKwV6UaBwbhqeZdybcXVrYpRMbg+bVR9sovEdL9FRuDrR7JKc2cSO32T
/weI9URJN5jY/Oq6zDAdSTddmPy7Py9M54sgQFChqGIwLbgMLxcmqoLQDqhrLFUIB76+MG2sAmnc
MzVHcF6DtP5X9YJXIH8gRnIK5ly/CcViivfmwoTmJ8R0GD8p2JAh6S1KqNcXptIabAs4diej4e9T
hdH5xNWh5yyNaZgtWgNEJv4jR0xuowUOKSu5UZZBXp/4Dd02PF6Ru4IOIE0bTdnvqnwdNfqtW5HL
pvVRPyqHnqOvRh84RyRlw9Rn9gwp+wzcYjQ3kwRLItOc6hhjTNyYnTlyDg6SAffiOOKSsJManKjm
HzRNZh+mtLBsX/RfM0eejHSy8ST7bgIv1Fzl1AenmpcGXQ4nvOmUVoC6zRPbQC1NbYBXRSjMnQDG
v8dwF64H6GvU1SxzGrSRsgcA9LCurT3NTS41wDe0Co8q3REtp8uORgmUOG+ZmQ1qO8SJrDVPjMza
j+uYTME3rjRJmiG6+q3zzUXVEkhLipNJ59inQGMgKSMz2EXHYRcucklxIWLBpAutGD5SKX11EoZ8
2ZjPZCM89EvsVwRuSHMi7n4Mq2jLjcrCN51kIYXOt5471GibQx0GxHFenAFSWiS08AcLmWqDlrvW
nw/AvLBFgCxCd0dTfOzGpJtWd79C1FiYTUMm0nbUbXHyPRiAwkkyFQ/4MQhZ4fGAnSI8reZM7l36
Q5GZXBf6Hlw85HBqm3JFK6z22JNRfaR3T/FidtOhaS98EHP8b8TTaULO6iK9bngbLtXfNAqkfoJm
9tIIZNbGVqYZuOWi5XsIQ4kIJ9vxLBsYuqJQdx7YwMs79x5ZHwY7pnmpZ+a5BKRxipD4oZOQ4DSG
5UMTAVwalP65xMzCCGsduQBmJH0RXqKHdMdcfZa6yRm00fswLa89hwzMVI0O+kFkrnJX6QBdcUtS
ZXhT2CsLTRccRYuJTxZE8KGb2YiSkjFG9NDbVaRioZA2PcBmeBy2YeQz3WQ4w+V9k+HG4tDxPkQH
BiOLGP956B+ArXoF8nUFJ1WChTQZ+4H2NJ51RzA6r4oxOsc+z57qcsigOmCohAO5DYE/bSZxmR3I
8NUPYXfQeq5uAtM6RPbhHDO3YGoFDqbHyjgukzSkv4b3zMIZUnampn7L0+LCbvnijc7Dwm4EHeLe
u62kzLTWQBLSPm86d9VpgJAV192zyPgmBpt+Ah9r0Y+0VnFg0ymNo4qOIVlYWKC/KI3D2tNGfEEq
ycP0nn9dS+U+oMCZHJlzJOhyqCBJcEJxsAT7kMyH6FwCv09LH2z1uJaiYV235qXXt5dRjPR5b5+i
MAp13IMPiJEQGp2BdD3Y6OjUsTX3x3rhD625TzOWTFDkS4yzPIAYw5rvddjXK2Oe5dSRaDVrM1XS
H9S+Oopl6aiX63SOSGM6p/2xzgBqDnltTPHZHvi6QK4BrLYmQ5k15LDdRWJ1GYqBtbIE5EBWiDPC
tGvjdNY17ED+/IcakyoNRuxOMNSxJnYsnReN/FAlbAndTAIIjtZVXhbHVYyGBZCnhzynqJa6RRX2
JpyjWJ+TANPtVsKFL4/loatQtac63zYrfoBxUspMgd3U1Omtjgb9IpOIwV5gO4g6ljrqqd7KhUGz
ypRhXZiIWTiERj2CloNK4ZQGyNFY+ycVFCZSPOFdGGgX2CZ0cI4hz1byki7VZT4SKzPlQvEKdZqN
MKHlzFp7tDFy099X+XCzLgCiaMjNlWSOyhQ4rDA5godRGmzqqHJvW3O8Levi3K90b+XF0gribiPk
UPGIqpuL3FYSbE74fjUpm9laiR8fNE3hn/M9LIEDEuUz3zkh0C1BzCcTVa8uUZK8jtT6a1kgohlH
zVfdGeWVonbKTJZV0H9VyOzI9o0pprRCWqRA0lTR9soqvEhNbTnmCMu6kXLbRb3M/ChEFM4JcSxk
nKPlJomdet2aZ121P7o3XXCg+9pZSvIOcPM6lJKrQEv4atJ6aabZsZrTishjpVrJofmgEOjnSu+c
toHJ0dYZKkm4FpH5jsE8tgIwyjpYE6c7rPL4vHXUlYW0N6Un1i2DcoEW6oGfDSP0t+arVcMxkYt6
v6iP8W+d1AaaIR4jDJRFglmcOcFSLUoUIMrgqzKMyzguw0N87ZQFHghHzmBJi3ZoooVW9+FkVDQN
iQoMmgxgRF3u7RuOjX6SiU3YRMk8p4CmoGFg2GcPiFT5R11a4wKEModhfQ0zOHEYF8DArotxOFZ8
OZj6Fd+zhTwI6po1SSWMJeLXvluPtMfh2p/IozSu3KrW91rUhJm/2fYaOtGwHPteJR7bwifKDHG2
9BaJoRypubFHNNo3KbgjXOonJY6OM6nUtevAyokQbeFN9Epa+YV+DKrYW6W+/KAN8gPuHt+5cuA/
Ivs/yNIssa2ZSmdNq3mPdLOyWdTHd30QgbDzfPBf+PvWLjPM1DNv/D5pscWtw3lHW65ATgbg7sjc
ShJjYRNLwlmcf4dDpujuOdyNlSR1KlIXFNc5XJqgSZQppJwrlp9bXIkf8j7cb1XPAmPTn5WVuQzt
CoSsZqULyn1KKew3mW0yWVOK7iat8TXs4wtDH2ZmbFwlTkElEdI2G6O9TjcXZRBDV1ESuDo9knL5
JUo2dwTX05pu1xQbjXAamMU56gILAhwmOzp9L0epYOepOGOMDKlN2qwYkJxYDijhyPWRZnWiYV72
wMaJ+zE+zSNGViYQxR6B1tzEeSPI1PWIucQk7rqlFQCRBu91TJJ7U5b5YW/F1jRLpLmC14XR2bdc
LYu2U88Z2R1wclcWRrEoJ/hX+Uh7Igzio07hqo2Uw8CtD9w4+2rkyk3nRsI7yvpaqf1RRvWDfLOD
XRZqikjPede0I7BElOK9Mdgv9fKo97xF3qnRrAnsM9/IuaMl86rJ26Oxx5kkDb7HurFfRLg5V9pw
COu2WdGxrudpbx4lig0VMSEQSgy6jQAFFUNfRRmcAXk8aEpNQ5iGdqKJ5E3YJcmpxgh05tW2NJE6
uGPYgSFBL6pJ8GzgF5J0mOaVpcPwLVcVOLtZKYffrY4cxu6bUyuvtKVTYqvnOVV1mBRIDxVaB+rD
wpwNYn0Uu9LSSbqQnNOtOVxGbI/6pVlL+2ZgJUvTz/Ycsi3as7mGc9OI1UvwBE/9f4CVen6LGyXC
/sTxit+eZriMXWbz9yJj/9JfehnW/PmgR5WyX2qNxWvUzJp7VMg084uGHjscZ6zWxQ/1DnZp3vOv
AUg6X5j42jZqKq+bxn++2IZ3/eEN/fbf+fmbf92NZcLD7OlNQfq4kH/z+fmAf31864tq6LiYKT//
+BSr4KchMz/+7MIiiP7zu5608h7L/q+sBM95tRTsBMZ/kJNY1ueP+n4nmPxOUZUnjN6r3f2z/ftP
7oQPi4Byz7+zHd4ugjBd0RFfAH76+MNHfbMIoAtV1sgCBSh23q6tAe0LGhq/fSTergHzYEYFUN5w
/BU/DC7erwGjYtCVCr/5Bxfhb87x2zetI4QBJovZ9uY3/RjHgMRjiPaPvuk3se7ncYw3//4Ii6bW
lt+c+QVQwCN35CmYE7LffnMKHTbYUQygd3QRxP2z5SJgM8L5lOGBvP/0MoTOR3rlU7B/eql/6gj/
1u4VU0TRcNR/cg3RGtWAsKIbsxO38IbdK6Q1t/zi6OTqQK1xrnraveKAv05FVAUWr0ojWIhh/4Nx
598/wjLj1y0XAUKZwxJARv5pHANfg0Sd9XTj/1Pb999fBG37OKZ+gbBGc1aIIL3ZAozbFaTzgKY9
Jym7uhGe4utfEsG/n45BH1SQl0W6dvNG4DTAUzBR8P1n49i/vxEE9WLL00BcFFQOQ35Ox97vB9Ix
xkFgJUSSspsh4Slgb7MTbDExw6tHAEbEz4e4yNzMlrF+ECjBnVwEIWiw5U5wvjhIORsqIg6PPx8S
cyzJ4O+AjHwKP7sXF+XtSzRqcfE9czv8ZCcg900SDN97VxdBRPQtd4L2xQLMhBjeTwIjdwSSeDJj
lV0NjAISu90iIAloQVKzVFGoiZ8Px4F6CPc76tSnm2j3jsNzF2GbwKgj3aICaH7pWLy/HWDni3QR
Tt9T5NzZ/fDUUNlmKewv6Nujw/J8T4pOyJvEiQKCwphj82gY89jm28mb4rm+2WIpOBpUUQLwCBxE
/HDY3i8FSj+kVcqu1lLPLYotFoG2rgWSxkD94WkR3u8H2iGWjbUDfd0dzRmEo9F2QVKzcBWF0iBg
Ro8/nP83O4FFcEwUuCEpPK3Sji6FIGtsuRRUE6g/K8j1v1sDMmhksRTK7p29KLbeCKjkgqdWdIRV
3n96/LeFxzUd353eAcrT1bVNRKCmpp42AJU/HYb3vUHF+IJHHRGD3pn42dXL8oNCwO+X1gJNiNIb
Y53NS8GZoP9g6kSPHY0Iwo9uy4iApwH0MRV3+Z/cEKLsdEyT2d+uLsL2pbXxRYPwRo/lac9vmn6K
WQhWVk8p2u6l0dr2iyDcLWCvoDexeSfQaUKWUCaAPtUtu7cIz0nMNuHR+UK5RJ2A+OLjz4cmi4rl
uaGgB7mzi/D0xrZYBO5JncYzsu9PayDA2W8SJoHQFiIpNNx2NSZs318wSQo5C+SNT6vwPmtkEQCI
czc89zd37zg8d4S32AlonyriXrBgCj/+fFgEhOqQatI00XnYyUpS2/6KhDNtMY3BOe8pMPJR3x4H
UWqK/3CFiJ9dTZmee0Db7AfriyZjpgTi+Wkp3rdaOBRIHTl0WnZ7KbStgyRVJZ5NiDfZz0vxvrQm
e9RVGXKL9lS27WB82L4TTWeNEeSf2+FD/1HALdBHdrhQdzQ+iFpwyxSaRaCI0JnAPR7/j9clYCFu
S6EvvaOLYGy/COKmUCgb+aoffz4kTswpSZpsUCc7ugjPuf024ZHdjtQF8KPnnOFD4gR0QWEqg7Lh
ri7C9j0mNPRQtqPH/Axi2bQIgtQuq3/WGbuZOTzd49vsBw08j4zW4HNZ+bGu5D5lnAuUclfDozC2
3TI80ltjGAlW47mker8fGNSBecIGa1fX4IPf12+3mqioAOqAWEEgenN0RK0S/Qg0IHY1MGhPCf42
pwEUBxgOHaOEp0V4vxFoMOBnDPjNeQqfu5pHC7LwlmcCeJdFx42c4GMtwS8sZJ129dMLPvaWn94g
H1Lhc1JRPf7wUd8WVPQXCJlgmnY1JDzn9NudBnoHFq7rz+22D1UlWaOKypqD9otY8N2rH/StJzKa
Lmokgdv6+XwSU0NNKLk/JQu7uhRP39F2+0FAFOg7/qy0Vr4I/g3J466Oaj+4Nv/2Pcm8GqAfQkUv
Q/sP/QWQTdST0JR29Z5ENm/b8MiQ1pTBeePy+fjz4Z6Uv/BLjo2QqeBnZ+PD1vekwDdhyMRl8QJo
eX9TqMh+MK+kE7ujkUG4YGx3XYqxNYMnUqfnGLjhphCZBDFyZ3fC9v0F0WmiphSslpdN/zZnIDLg
sIJp7s5Ghu1La5os2MyAAX6+Lj+ER4g9Ypl2t79gbJ0zcBzAJphA/n6SM9B4BQPNlFLQWfn5jUPx
L+RYf3Jxp34Q3z9SdXFgfWT5nD9UiGL97V94YUN+fMArLtgjqfXN37wc8oenZz8xxsT//5/1fRKk
s6Cqy+CuVh9zxFe/fckZH1/p+d8/f8SPL/7mxV4+18sfrnDXW5d3/vD4i+H5jR6vE7jD/xvzX/fr
90w2MTd6+TPx2v/9X2/f7Kuw+Oun58EmMSnBsfnro/67D0/W91n58qC9+//+ryeFK7Fntn74BN+F
h5fnvHo2ndGtnz1dx+uWr6R6edar53MTbv98NLyqD18p6QbZzSc8PK3L9R/TbKNPuiiJt36J2UP8
x3FWblx/7oetnz+P/5hlJZvn5Vmv1p/reevnL8qHapMAtICEbv3wZfyQpi/PefXGP+O4rprkexbf
1x8fr3zGgd1L8ocyWMcbHv8ZR3YvHTZ8owJltfWiHzyUG9ZcYI+3f3SQehsCgdAC2PrZh+toQwwT
QJtPeHRVPWxak884oIdZ9cf/pt5D/LBpZT7jiB6t7wnAL+vw1zESbPit1+ZoXQabluYzjqh4NlJN
G966wFpv/9Yf0vvsLtgUvQQg5ROeX9493L886K91F+iG7R+e8d5fnvPq2Z9xTI9wrdrw6M84pTy6
figfhg2P/4yTerzON+2Wzzinxw/t+mPuiD/BZxzRk3JNCNiwKJ9xRE/j9d3DhtxR9Ky33oenqEtt
Su4Eg3Lrh58HpI5VcL9hZYRw+dbPv1jflZQEab1huws41ie8QPrH5AEd5U0v8BlH9WItXqBM1+X9
xkAmpqKf8ilmwYO36UN8xqkVH2LBCbgLqrtNr/EZx1e8xn62LppNt5UYGX7KKh02QfXHyfegyjd9
js84zOJzHK3rh03P/4zzzPPr9R+Tdfl9vSlnEJOUz1gpXmOKWcGGYC2GSJ/1CmUzvjzsrytSNP+3
fwF/vbEmFBP47R9OD2Pj0nzKYQ6qKBiy5uV9vlqYTznL2S8MgR41wLZosVz8yk5z64fXawzT43VT
bViaTzm6os2y4R4WNtdb75nLB3+9yWlUtDG3fzg5flBvSNrEzGD7p//KtmTbb/Wy+aXI+7aP/7Xp
+rZPv83iDXFeoDq2XvTb5vuG4CvglX/z6E1t2T9n/h+btU+t5r/9C/SLxYPv4od1+T//BwAA//8=
</cx:binary>
              </cx:geoCache>
            </cx:geography>
          </cx:layoutPr>
          <cx:valueColors>
            <cx:minColor>
              <a:srgbClr val="002060"/>
            </cx:minColor>
            <cx:maxColor>
              <a:srgbClr val="FFC000"/>
            </cx:maxColor>
          </cx:valueColors>
        </cx:series>
      </cx:plotAreaRegion>
    </cx:plotArea>
    <cx:legend pos="r" align="min" overlay="0">
      <cx:txPr>
        <a:bodyPr spcFirstLastPara="1" vertOverflow="ellipsis" horzOverflow="overflow" wrap="square" lIns="0" tIns="0" rIns="0" bIns="0" anchor="ctr" anchorCtr="1"/>
        <a:lstStyle/>
        <a:p>
          <a:pPr algn="ctr" rtl="0">
            <a:defRPr sz="1800"/>
          </a:pPr>
          <a:endParaRPr lang="en-US" sz="1800" b="0" i="0" u="none" strike="noStrike" baseline="0">
            <a:solidFill>
              <a:sysClr val="windowText" lastClr="000000">
                <a:lumMod val="65000"/>
                <a:lumOff val="35000"/>
              </a:sysClr>
            </a:solidFill>
            <a:latin typeface="Aptos Narrow" panose="02110004020202020204"/>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data id="1">
      <cx:strDim type="cat">
        <cx:f>_xlchart.v5.1</cx:f>
        <cx:nf>_xlchart.v5.0</cx:nf>
      </cx:strDim>
      <cx:numDim type="colorVal">
        <cx:f>_xlchart.v5.5</cx:f>
        <cx:nf>_xlchart.v5.4</cx:nf>
      </cx:numDim>
    </cx:data>
  </cx:chartData>
  <cx:chart>
    <cx:plotArea>
      <cx:plotAreaRegion>
        <cx:series layoutId="regionMap" uniqueId="{03363E61-2409-4377-BAAD-071BA29D2E23}" formatIdx="0">
          <cx:tx>
            <cx:txData>
              <cx:f>_xlchart.v5.2</cx:f>
              <cx:v/>
            </cx:txData>
          </cx:tx>
          <cx:spPr>
            <a:effectLst>
              <a:glow rad="127000">
                <a:srgbClr val="0070C0"/>
              </a:glow>
            </a:effectLst>
          </cx:spPr>
          <cx:dataId val="0"/>
          <cx:layoutPr>
            <cx:regionLabelLayout val="bestFitOnly"/>
            <cx:geography cultureLanguage="en-US" cultureRegion="IN" attribution="Powered by Bing">
              <cx:geoCache provider="{E9337A44-BEBE-4D9F-B70C-5C5E7DAFC167}">
                <cx:binary>7H1rc9s40u5fSeXzoYcASIDY2tmqASnJV9lxbpN8YSm2QoIkeAPvv/40HSdr0XKWPrWqU6/O0czU
VCI11eJD9OXpRuOfd90/7pLtpnzTqSTV/7jr/nwbVlX+jz/+0HfhVm30iZJ3Zaaz79XJXab+yL5/
l3fbP+7LTSvT4A9sIuuPu3BTVtvu7b/+CVcLttlldrepZJa+q7dlf7vVdVLp37y39603m3slU0/q
qpR3FfrzrbtJ5PesTOXm7e57+M+3fyW5TLdv3KxOq/7tm21ayar/0OfbP9/uXAa/ffPH9NueafYm
AeWr+h6EiXNCObEpsi3+8HLevkmyNHh820CInzB42Tazfn7teqNAcr5GD/ps7u/Lrdbwwx7+/0x+
51fAvfjrP96Du/FejHc/ACD+fPsxldX2/s37alNt9ds3UmcPN6vs3Wz8oR/fP9yZP3bx+9c/J38B
92ryN08gnt7Y//TWLor/AeH3dVVtywMgzE8QwRgjjPYjjNEJxTayLE53EZ6v0X6EJ/IzEJ5IHBnC
N0kN1uYgCHNCmY3JI8JssoaxecIth9uw0HcRnq/RfoQn8jMQnkgcGcJ/JWAa7zcHgJidOKblYIeS
H4v4GcT4BDNsMQoO4Idz+GmlZ2u0H+LpT5qB8VTkyEAGD5NKnWzqQyxldkItk4FDJubDC+Dcccdg
rE0TW4QwcNRPgX6dVvux3nONGXDvkToyxN0sqfUhVjU/wSbHBKKvF9DGgLZDKLcmhnu+RvuRnsjP
QHkicWQIX5ebNDhEeE1OGEeW49CXwmsw7DYxOTXR7nqer9F+hCfyMxCeSBwZwn+pzX12iPDaOSHg
dk3sQH60a6pNyJww5oDuw+qeADxfof0AT+RnADyRODKA32fJJs0OEHo5J2N25DD26JIBx12cwUhb
3LFNa5o/zdZoP8KTXzQD4YnEkSEsxgz5AADzExthYpkvUSAQc9m2RRFk0Ls2erZC+/HdFZ8B767A
kaH7fpO+Oc82RS3TA2DMTrjNbAtb+EekRaaLGJ1gjoED4T9CsQnSr1RuP977LjID9X1iR4Y9MJ+b
ZlsehBxxThCnwH4x9kKMbZ5QZ4zCp+b7VUrtR/z5JWbg/VzoyND+BHlrXR4in7JOsAP5kknYfqoT
yGyIx5BJzUn2/AqV9iM9vcAMnKciR4YymK0KMC7r4QDmnJ5wZiHLRHQ/0BhiMuw4JiRWuy77dVrt
x3rPNWbAvUfqyBC/2JaHcN32CWEP0Rn9YcCn8TcsahM5HIocQIo+pcTm6rMf5R3pGfjufP7IkHUz
qLSNBluPS/oANcgRQA6k5ourGRHLsRmamO3X6rUf6b1XmYH4XrkjQx6s1pvLWuo319+kzg+RXtvg
szFFUKDav7yheEVh5UP2xXeX9/+Bavvxf+lCMx6Bl0SP7CnwtsmbdQYdEP/9xW+hE8jLgCgbLcD4
elbZgqDOtAhUtialrVcptR/555eYgflzoSNDe5G88bIS6NL/PtrQbsIwp1Cq/gE2hzW9S6YBacpH
xtz+4e0nefirVNuP+fNLzMD8udCRYX650Xp7gOjNMk8s6C1y+CPvYj4jXsC8w9uWQyfR23yN9uM8
kZ8B8kTiyBBeQvvVQfhxesIIorYNrWI/XpMlPXaQOTb8gyZFzPka7Ud4Ij8D4YnEkSEMwcgYnieb
g3Ar7IRAoQuqWY9+etooCCy54zjIsqe16leqtR/rfReZAfg+sSND/SbZ3B2kb9A5cfhD8fpH+fK5
5YZWFGYBm4Z/rfun2fd8vfYjPpGfAfZE4shwXiXb9AAOmkD1C5s24hiYst1QDANz7iBoRpoE3rM1
2Q/srvgMXHcFjgzW95u7Elr00uow0bbNoL0bUusfS/RZboVOLD7+A/za+JpE26/TbT/ae64xA/I9
UkeG+2mtvmXJffXfz7Eg5GYOhX7u5yvaOkEUgQfHjz58l1B5jUr7wX52hRlQP5M5MqC/1N82/32Q
wWwjSKzAbr9U1oSmBYdRx6KQcT31y3P12Y/wjvQMdHc+f2TInql8W8pNcgB0MbAg2LHH6OrhNc2a
kX1iQ8plI+g8G18Tw/0azfbj/OwKM7B+JnNseKf9IZw0hdZ+DDEYe2wRnVJiaOxg4JRCdrW7ks9m
6vMCwk+l56D79PNHhuyHbbhRB7DS4IphhVLT/rn3aoot1Kmh8QRBc9kPfmyyjufrtR/jifwMlCcS
R4bzBWzoPMSuDXoCxWfYfmPZv1LhnVQKKDAK70ED4YTknK3Qfnx3xWfAuytwZOhebuIDFKgg0oLy
E2ImUF8Pr2dbcvAJRzaiEG3t2ue5+uzHdkd6BrQ7nz8yZIHGeyO2sMH3QP7Xhg5vTF5YvEBsWiY2
IaOa4Ps6rfajvOcaM7DeI3VkiK83+QH8MZQfMQc7DYb4x1qextWjP4ZilGk7E85rrj77Ud6RnoHv
zuePDNnLTL/5CzZbJdtDeGLrBIItTJyfnnhapYBgetw9aTEw6ONrEnC9Urn9aO+7yAzQ94kdGfa3
Erq8tbw/hJsmJ9wxbUIeuwRHZHdjMChgQQ84hGCTPqJXKbUf8eeXmIH3c6EjQ/tqcw89/QdgR6D7
l4K7xuxx2+wUamgZMymw3haaQD1fo/04T+RngDyRODqEy0Pt1mEW7NcxH9uEplYc3LRNELSM8Akl
crWZqdBL+D4VnwXvU4EjRDfPDrLxnZ3A6oT16zy2BU1XMCTMnFrMwZB2Pbx2M6sR5rmavYz0zhVm
gr0jc2R4f8mSQ+RXMGGKAbcJQfXEI0NiBW8wBDWpXXjnKrIf2h3pGbDufP7IIP2RKJbppryXB2n+
gooibLhCDnkkR6YJFWKQcVkmNJLsQvx6xfaD/cJ1ZsD+guSRPQBX2X12998PwaBr2+ImTJT6uQHr
WfOIeQK7bWFHNZqUH2crtB/vXfEZMO8KHBu62xTgPczKHgvM4HoZe6RKpi4aE+jLZ5SQsWP/aYH5
6jVKvYDys0vMQfqZ0P8AtH+v4s6vHucH/vXzVu8Z/fjayY9gmWGqAeXosb9vCvBYtEAMM+gz2BeD
wTblX9Mqf8C/T6f9+D6V3fmNP37i72/K/7jJjlfb8g4mU7r/9X1zwGiYlFOHvtSSC833DnSIILa3
vWu+XvtRnMjvAXLnr2CK6UTi2HDODhJijfNnbOjoegT52QYpWKcY9jpDI9Akxrqaqc8L6D6V3gFy
/3TWnW87PmRhNuu2P8AappAdQX5EzMc+rmkADUkStSl0cU0nO8L9nq3TiwjvXmEeyrsyR4b0etts
DjLAExYpxQxmUzxylntwNmETLETMkyrjfI32ozyRn4HxROLIEB7zPk9ug0NQHdC2h4C2hNa9CdUB
aTCixIE8+bHI/DOO+zGl9VU67Yf5+SVmIP1c6NjAltvyICUI2DVBTQKN1D8iq+ebY8wTeNMEr71/
ntRsvV5Ae1d+DtS7EseGMyzqJczwvJP6Lvu5tvbkI1DVf914fAa99KbJoPfyRw4EIdZOVREqETBS
DNkOmQRf49L6pdGcuOEFoPdeZg7eewWPD3bY8Sg25bfD7Hm0RnDHMtPLW1spd6CBE0b0Prx+Pnq/
zPrr1HvxGdhzmXnPwB7B43sG3lzBmQ+H8OcPZSoGm14fvfaz/VPQLoRhzyu3JhWMcfXPVupF1CeX
mIf4ROjY0A43B5lBBJ3acMIJhGjkpf00+ATiN9OBWTWTRT5boxdw3pWfA/KuxLEhLHUs+6ye4zNf
58zHUTMEXDX+eYjCHmdOYfS+Dc0jE4xfodMLKE+vMAfnqcyxIQ0M0yF2XUCXp0U4hUbPlziVhzyN
WtCDMMF5tkYvoLwrPwfjXYkjQ/gDdMfAOVUHWMqwxxW2XECu/Rh47fHMY8cBBGYTz/wKlfZjPL3A
DJCnIseGcg0jRw7R0gnbaog57ox6uUKF+Th0xJ7Y6w+zNXoB4135ORDvShwdwnACijrI+XMwmNuB
DhGYvP2jI39ahYReTqBZEHLwM4zn6/QSypMrzMJ5IvN/A+mXT6j7ddSft6k2i4dDAp8cUvf7dx9u
EpxtOBF9rO3vJ1N+FH7P7v98C10CBKiupwTLeKGdzoCH+fU/Pe6u0BbC+j/fGrAxA4bKQFF6HOIM
h9ZRCLbb7eNbMNMXitEMeokYoWTkWFOYSRj++XbcZgk74cEVwLxfyNYpBHY6q8e3YPcWhsnvnEMN
jUArA7d+neF4kyV9kKW/bsrjn9+ktbrJZFrpURoex/zH50Z9bdOGfgggBBzQjsFDO+qX321ux32F
cA/+V5N32k6DkFzrzjLdoWvO2t4qPBQRIkpaLDOCa1FW/WeGB+LpwLoriXNZ8T72bNNXy6jzrVVV
hhdVm5kiNdMrIzJL4Qx57XW6WXcl1Z7FSzjcMKu/9Tz9Espg0avkNraiVdpX55jg2yLPIxEVfS14
jrUoEb5MVWyLwGAfdcwzN+GqOh1a/+OQRZ/tIGQiy4bOpZ26tgNyjVq64EV2zpLiLLYHcjY0funW
MXbcJuxWQTwssJN/t/Lwtm4D+zwN/FXel98c2Quuh0+dVpmIscKC4DgW1FKpR3LfNbusdlkefmpR
/TXuGssN4/AU11kqcs1KoUJSiqqpUlfmZB2r4jyJLSLasvxeNCESnZFV7pA411KVudsGxXVkN/l5
p6p4WUs/8JjKYhGHZeByM/DXmmamF/J6oKKwhu8ObuJ1Y7G7QcLNzX0VvsN+b4pQl9uwMvlVlCVn
Njew8HHer8JUO9dadmrBWAuo1aElyqAK3Fh1rYiCNBRNhOhKNl0gaNnYp1bHgndmQNBqyKNAFIFM
hEpJIEjbZkIqEizMPolOCemShSElXkVhMrhksAShnQ2PQJadKt9HHup6c5VYWi4tM/eXVkuSRakq
vKoyohYpiS5RWlwMVXQdp+is6oPBk8r57g8RFRFT1sLQknh93UcL5LN+FddBsjCj0IEbgfoFKwu+
qiIaiKgr6xXHuhEqKHPPlEjepi1zVnVuhwuYPxCdmqbve02TEKEJMd4lUKYSaoBfWnSUCklNunQC
o3KjvnVEnwX5wlA1EnEcy3Nb63YV4PBDj/VNXZvpIjScXmRVDtNPtBYypLboC26d51wTEaBein4Y
b5HE6ddW29HHNJRI6JCnp32d+gJ3QSYSP0XXthMGIswHX0i474KURn3qtEyKsLXa2mO1vI+VZMKM
mL9oAmWcmlW0rO1k4fspF62iuVA8LQWxiBKOFdXCiFrHK3OVuLSJ6LsBde+irr6lrYoXGkdIuglO
1jGUXk/tuPhepcO3CjXhsspRLRKelFcSdcQlHfWSsqBntG/9S2qwZuX4qXWLjfqT5FlleGZVd/4q
xB1CQtb5XQtascGIhR9GidBOWKwM2X9ARouWXRhQ12z4eaowXbRtjwRv6jM4k6wXORsGt0qChUxT
49ywzFNJyMdGR5Wrg/CDKqJzFqU3LdOuYbArbX/1Gb6oM9r83cfJtqXVZWcZhkhLFHlOW7eXtWbp
KedVJGQpYxHE5iWGbwvz8KJprO9F7GAXDcmV2ZpINJx9GpzUEjIaHFFpda+ZDoSv1FkW9e+ANrus
bancLGyIlyonW8USNaJrQtvr+qwTjWRMlPDxVOPcZZrYy74HCFGhrmsjeJ90/lczq7/kFpgHx8wb
j8XlhWzRpospXeiYBG6js2CJarRCkogitspFE2ks2ICUSHRzpZ32cw1ZvccM64Z3zBGZYumZY9vw
ycqMRB0njZtX2UUdmaeJ06RuY/nLyMyKa8mrXkRJZAqj417VwRBFn8bCbqTnh5h+if1a2Yss7a5S
XN1lFjtLa/vvxFf2mVRIROXwrUNNKeqsO4UfnSxDbNZCocFLKFuHEVgZnhkCl60bcyMTTYZOjYKe
9m3hRVhGwpDtO/BIlwnWxPVl8q1y+ClLyRoF+cqwilXQhh5g6nYJgj/bm9CR0tWy/q4lu0mKtlo0
WX9WKStc1CxxDSt+5yvfAF9QuwnpL8Iqeae44SEZfkjiYBHS9JTVSerVSn5IZOXWmJYi9TUTqh9O
fQddysR1TN0JzbFLsLn167QX4MeMfqUdrJ0bqeLEDWh6a8qyXDw9eHfH6d5l4DRkED6enfzrj//6
kCn49+Ek3n//5Xj08r//tNpmI8mupx8aY6Nfn/r3ab5jLPLraN9JhPPj/OYXwp/fvvmq2MiCgOVX
8elZbPTvUxSfB0ij5K8AaYyHoWXEsoHGomzc4fQrQIKmXHgLw/BcYiN7bBh5DJCAETHhDGcY1GfC
iWTQTwJv/QyQoDI9HmDGHykTiGh+3okdrCAw3BcgjWWv3QAJip5wQOXDKEg4snQ8aONpgGQ4BonL
Lsmu657Gw1WEcztaw0kOEV5UlUpumCyaylWJvbbz4qYOnTsrCNtFidWHBiUZLB11WeDyS9Jn54lO
b6WSXmXgTJDIv4IlfZV3WeymDLwOaQKv1PFlaLafhyjdcgnPbNZgDWuNZu/sYFgiZUUiHBJR+2Hs
YasWJKmiq6o2RAezk7ySNCn6ho0ITFYbJMs2aBx0Bgd0lvIcx7QKVjEyrEGAdaZSqJyA+/UNk+SC
NvkZk0ytCsbPaeIM1gfiV2DZfNVGtcd5EFqXZST1l6j1YbE1ROFlUzcRmPM6umA6pRGEabZuwVnb
hse1U0anccqaYVGUgVksFHAfgUja7ltNVSjaJP3Mcrt2q7BdOQ0vV7mkm9zPfI+1BfgxJ2mXpM6u
pG8WLtaVJfJQLorBhwCIk0XmNx+x6X8yyuGsYsZtw5SbNu2Z1adeY4CbaO1r3tBeODl1ywTf9lpu
ciO7SGpmgEOvr2qWpoIZ+akTslyUHN02tXEGo00WqV+snSD/jiG8U0Z7imR13lJ1GvjFZcDTtcLd
us7Kb2avb3mYnOKIfox544U2O/VRcE3DRosiyd8n+SBYKr0kN1etrW/LyvFI155F1PqsGBUmdzbc
0edJ1NauowheRPx7irKFldA1aetFmzkrKx9clOkrX+obHldfSj1AsOB4uYEWKQvXQ6aunR4iWXtY
p9o61R3+PLTZVYMjAZHsGrB086hd8jBcR3621oRfDOC44Hiy88iOVjk1v2I7WjqyuspJ9S3InGgx
Qh8w/sEqkQueYeXQ7hI1uhI1N9c1Dr2+iNYlxe+KvnWrwfhoh+QsiUaE68zLY3WmkSMc6QjuF1tu
abdJk88sCj9mZnhbhcbSz+1L2PS4xLVam1GTCNqjy9bqvjWghMtT5EGoeOk3w7nDkFuG1WXA0NKQ
3UXbhWeZVoVw+nJbMnzb8O627GMu/KCx3zG7XEnahmvqW1e9jdV1mZjRGdj4IhQSZwTlooH7ZXfF
tUntyxbBI1Vz6yxptOEWtM29XPP7PujWZqc8S5FLJoN3XVFRr8ul1yQJ80hRfK2iHh4/Qr0891dd
0fRLg/hfhzK5ankXLh1Vf4hbf0EMwkRsVXqBswFChTjNBVEWc42w7Ny8MdIFDtGVb1m3VilLcHmq
gjgXEG8ifhPlxkpbysubKDvNw9hwDc2iZdGhqyqqV7EfuDbPhNnqegFPB6CFcSV4rW8KP+zd1NIX
mAylG/b6IlHy2vLjS1IYK0TahaLFOsdYirZQd7mlAIzB8HCrWy/ye7hZFX1nJ85ZVkXEK7OIiDT2
IeYbuso1otrNYJaqi0MbkjeZXyqZ1CKuDFfh7O8KRq2KHqvGNdSwrhG56mJ5T0kBIYKDT/08tUUn
w0ikUXNLU/yp4vTcsINTx6iTZdKnuWvK9gp2bPSiscACKCPJXZ6ntYcLvxatzItlVPeXWYFaQYm8
juPiY0Nr6oZh9yGgNjzvSIoUAv3Gia/9BG5NWKgY4u7oI29U6nIZcmHZRns5ZCS5CG0au//f9z/w
IuPB67/x/VAtfmhJe+76H05sf+RGED0xxxLkOK8VWlIQOPGfrh/6y2xuO5w4Noczwp9wI4ScAGth
wniicSslHQmQX65/3EULwxAgKoCtlmPE8BrXD1HDxPXDKT0ERi/AMS7A5sF8hfH9J9yIjKJQh0lF
roBBUaELCVQVQHhJ7fhcSdXmkFc0AysbASkv7rww7Yf3NbivIEyDS1JHbBOHqUuqwgX39zViCUI3
LdI5JLFNnxdCNym/Vlk1nAekTuRZUfX4A/A0hn2GtFkagnOjulY+8c/jnprVAriJCL2XjCfWxRAM
ib7jaUDbq5Lkpf0OssBVQ9Nk6zeF9LJU1olbW04drczIQUteOLK5rYq+OrMgODfEMITAi/hmX38d
LFbHghWheYFr7l+URRFxN03bcBF2vHDLoqwWtdnLC7vqrUvfB3pHRNzncKh4Oi6iwm+HFdSjBzdO
w/omxPam79OvLA7uwNUBIWFx5ebU3uaV2lKeoUo0qrDu20pCaJ66uAjas3Qw7WUVG/XXlgZUNNiE
zKCNa+Q6vI1EJSvnMzJk7nGwqnedpM2pJik+Cw0/vDSAvjmNUcnWrKi7syHPi5VlN5lbNkMlVJx2
ru3koQD6YIB01L8CcHOPVo6rW+17TqUunBqYJtsvGTgNeziLrWR0FzwRFg9XEOcpYFMw2I/eieBk
oRpihzT2codvHSs0IIQZToFquCaRpKvebythaLA2gV9aQlvd31Zo+V7cDo1g1F5liHdAL3YQ/ZTt
OiZgUE2wWy5P7M4roU60iIwcX5tBHL83WpvcppSm28i0ynNVyPRz1FilK2Vxn/ZNdPH/otV6ants
SNx/Z7Ce7t/5NwX8Q+pnooJga+g4h8WEg1tsGP//NFGBvqqxDxqOundg/9HYPPOTyQWOF417Hcxx
0xGcCQPpw89EZbRWcEHgXh3o0oADv15lrZ4RuRwCUxjaRaH1nsC5oGCgnxqraiBZXtR1t05bwhdN
64e5yEjEYjdmbfOOGnZ/HnVNGi9ME2LIKrOaj7GlOzBDPC0+P7l7e9KmcQzcbtYEu93hDEow0pZp
jcch7WpjpX0e87Bu1rhI0Rr4VyDCapbR0O2aKuOiaa36C2tyQwKZ4oCFLKIyBh5m0MyC1c7Se15V
5jVcIwR/nyTo42AbDlr11Pa3qDdQt/y9xnhq7G3QGNJQONgD6HWYKGxONJYsBGz7ak06Owg82g3J
xwaOSSbLivWZDQFjB4yTZL4jBkZH1i82yUo1ZY+8ssmq+7DTGoIvI7c9XcmsEZUKTVjspQ0kRZBF
4U1c83Oleag9qPPzTzosLuKktbuF1Aa9kmXYqNXvf9VzGCDKMmH0Kpw2BP3aDz/6iQdjvRG0Rp7o
dVr5/FMWgA8WVozh0YA4qrtpu5K/z32U/P37rx2ftadFBdigBVUFRuAQUph4gcmo1pOvtc0usHId
pOvUGdAaxWENeQmYK8cPP/3+m8bse/pNHIaZMSAKYGOYM3nO8tTqh6IMs7WTm9amaLMyWfmV02MR
5+HCLOqRrTZ7J3MjYrfqPz0040Ox+/XwoMCsUwsOW4VB1NOvh20wMgxSJcHnxPZGRbW9iZNRB3tQ
ekHLLBO9CdCvWiC2MHB9GdtWCddnLQc32lFSmi5pIyAAIpaqj6TMMfFCyOW2udEAuW0Mio3RvVWe
2oQOtfj93RsPLJnqz0azAe2eGM6sskby4wlQJq3t1LZ94wrVvtrIsgIuFBlxBQQpAf8dnLehjL8F
Ds8vu6EIlzSzOuli1LDvFRC5mduHAXOtLGq2siTsvrHzkJ3/XknLfgbyQxwGlM54kBKsTiicPtWS
lo40If0jV5FV5D53vIqHw6qrOsKXVVPXbtkV5rtG9XYtwjBkbonSlcZlDgUJCNIg7VO3eWKrTrCk
DT63kcrOel1VIreL/CPVseP5Req7dRZFEnIeErXCj3S6bnNDXxfGQBZBgDgkLoOfKhc3oTq1aZXc
4ii4CfqUdJDzsmJd+cWHCiuDeLTBcCNlj8E2WPUAfEvrRJdJaDtffLO2zkMKrOQQdA13WzO0gG9O
enlmOGWvRNs7g4daoFCGqLvLdVG9r02DAWGiKrb0dVGfWT7GH4oQtfHKZwYkORDJ+d9g3iPEojIt
jK+1YpAw5hqfAfWfn6GCJ/eyyaF+kBMVv5fc75hoCis4L/2ydnu4DytkYX5dtKpbWG1ZLBECHniR
wBmGQFi3gVO4DQ79hdKk9OqcX4e+EZgeQll1Cq4Gt25qApfkVCz5u1NmeIFLnr+3SWWvah4ZeKmp
GjYOzcqFNrtoWDaxEyyNrjM3WCftdx3kue0OuAK2OQ1wEyy7KspgcbTtog+a2lmWmR96EI2r0xQ+
KsCclxncaNUwEekoMlzmt0ywzO4GYVWJD4G3kapVSeNFYNW9+a4lyPKkLs1ERPAkVUtStVyvOsK6
S6D2hsR/V7dFpZToJeSf5X0IjDkevujW6BgQVrwEU57d4V5FFfBCdVXXubmu4krF3TmXxbBqeF35
Z6qUMhcRTrL3JjPIWdQTUrs1YOBD5ciEuG8IleN4qe+DP6ySuC0WNG4DE1iqCvnXYWFSlp3GPQOm
vO8SXl1SXRF4olo/Q0AG1uALl9QII/+6gaVDA7dwcgceOBJrtUwTWXKRFOC8/EXXSOoaPvSDQ9XK
N1MLAlcodrhQY2z9ZZuwRC20D1HBEqrAanCdwQaLmeLYql0VlkYiGt0H+kZLQ6lFFkjnu1E3TJqe
meFqJSG9cNa24Qf+eUpYxezITTtdDP2phqbEMlzkUKtVC183Q7HkpU7lsk+o6k9NrVXu2rhPpMs6
u09WpSyk4QKs+LORqwF5MBotVh78ZxrXUNAwNNzyFCJfpbg6IyWvkkUcVvR2qCtClpGRYXQRtiGU
gwQLcVit/LLJ0/fgjMl5FAwYSq45aLDIoPw0LBzUDdx1oj5vr5TTw6NtwFIpPR+h+rwktp14gU8C
KMulDcApmYb4JB0iMmyTGLr1PAcUUB7pVVicIVNap4FkMXUhRyuIJzPpe0PtQw3baMscWBy/jSyX
yCIagHaNBuPC9BNriXI/sEFdzvIF6sMhO4PiYRssYm6FrRg/JxCXPIXHJyCF27XSGETVSeNrCeOt
e0NIWEd4jYZUArPkNJZBPvRJi+s1zXmfeSkvqiu7TsElBZrFIMAVgbvlyxClXwaUpOF5AdX4bqlb
e5AXCDLcD1YE6ZvdQdVFOAge3mWddowsNB0kKF+jSHkJKWLtOkBuQf21+JK0LUQWURA177VN2295
GZLThrWBv3BiSOZF6vhwHTvJom6Zlg1aD11OrHe6stEHVBnwiZYa2nEr1LNu0WAVydOywxiSQhZo
fC0Nxj+lZjE+nFFU6BVLdKhvut6CBM4sWsAmbFNQLNNgdC/Ag/FPxDHh6VZgJUsPdpV32VmluY9v
orKO41vspMD4dRYQr1dVV43BZ9h3N3Zs0G6RtQq+GloMIFvrsKqGlRmz8cePqrdgn0CvXKG1Zafw
K+rChlsVxlk8uDxuYOnkSRDLd2nJYMmXNUQFAbwHNhVXaXhdIKsvU0Hy0AS427Krr5QR5lBbNuui
W3aws5Ys+qbAo9GAxeTCLwID0nE0xslVqj75cBzhudNIIFedEGgJt+sDumlTAmp0ZdTfkqoz9UUA
YW50keVpHL13wFusdGqidcGD4gsMiKWFCK1Q4vPMCXh94YdZ0Hh9yYoWAtyerHIMt9U1WdHfxUls
33S1NrPTwuyb+DNw4YGGwr+hvvcDH22ILJLQgzzAIQuJ+1Avc6r4Z2NsEQGmJCgE+9/sndmO5DiW
tF9lXkAN7aIuR4uv4bFvGTdCRGYkqY0USS2knv43ZU12Z1Uv+AuYuWig66oKhfAIdxdJO8c+Owyx
zVm1sPtajPqc9m0DfsBXPsW2hws1s5n56bNqnJmWnc+xTFanCtJjyIUnP3tsyPaEy32wNpZtxy6b
yMEnauZ1LnHILPLsKRh/eZV244yTNphdSG/ZvKl0Th8dC5l+WtNRed9Gza2GLeMl87FefLyU6T22
5uFCY3oc8LUsudOm8W4V8zxejE26h2bWaDYn+hD2BtjEusT4clrX0+t+6FohLjw24ZUzuqEomeT9
fKZ2GVhOIt2zRygR/c1NObYRbJ0gF1qGnkOWLjOROAWsfOio9OpXT6wBmbMVCsw+DWPgpHgxXamS
JU5LT041LB+Mus6cd4mO22Odut6d0U617tUkdV3W64SHtPbRrb01bbdG10AGui6Tw+zGl9Bjockt
1I0uFzbgW1sIr2mm1qTH3qF1V4IFMAr9bZ+o/Uoknv42NDQpLKgTnVeDjuXLElnvsWEKzxpOuvQZ
z3qvbzn69dhg/SGFj9CzeMnM9MUn00I2sGJOniKfy6VYIjqGl7CCaX0vK50qHO54osuhDvBtonCw
5qoOxlZcJWpgwa1v3C4+VkakeF/GOPTSKmdYil5X2DOgxqbx0sG9RhmZtnSnGWlZsRjXPVoZYt1b
4FV1FlYsufxQpf9Dot3+JvJ/Q6l+dV9/NWP/f1zdS/1VCS2+j3+0dX/3Qv9+3m/0L/u/2wSyX9sv
v7F028/8bKYAi4tQ424TLXFPbrjxrj9bvz8SiFtHGCYu6rrtlty/ub7A3kKSRNhGPBebwt+aKeQv
AS4CiklAUpTwGC/xZ5opPtmwt18LO7wAujlQGGmQ+AQF9O9LjlEtDe/8xtwMI9CDgYxFUqlN3LO8
8e1YrB4XjzUM3hsfgvFBT5U6OK43Haa18nJvMhlNRTUCXgqu0V52S2gFrL2k+QzWeM5HjOc+Mzl/
QIYNj8IKXbayM7cppUPe9zzJ06kSjyFgEOVOSYbjrJhrJm56KmW24AS692jC9xMupi3pDP5Ke94T
RFN36Lpg2jcp9u9oOqJV+UjlpHY453yI5aG+6cCH5WGcvjluvBzShTzz1a+fZAjDkPmW78Y1nbAB
ol/q4SO4qT1S4Uwa04MUIrqhix+js5H2h2VI0qKjQXoYODqslCavQg9LFg4AgjYCZJLAuFLny4Kb
NrMRIF0qIA8jNpxQApVtQt3Sp/MJC/o8C/KMT/MiRDVk7ijGTMRTD7OJvUVz+G5iiGaxiBcq2xcV
8a4cGEWNRuuHMdQdPHAnzgLuJXlM6aFdZ3lw4v4zoKzLDI9PsYLFNa4ceGHUNLsRNtOOVQt4xWj9
gi+6gewcHoRTXYed/SBrfQiqbsA7Cb5VVt86ms9XLSEKIOTqlnIh1wFOvWyt1utI4CsdB1PABr1t
++ADljHM1/YrdmuVCcZObWduYrTjsmRA19ujroYk9I/bNNi8m4wuFpoCDSNj7vfhIdbxlTA9KUUS
VFnksS8DXe9Abp4biRrQMVCEkOspAAAB/pEAb7oJrNsEHzjRI3tMRt2WCaNnpwrXHpWwokUXKZ2x
JPp0dLurJxKixre7eK1kVqVNdHHn7jQ3tcqSiDeZ33tXAYR81s1zk1WuxwoakXpvo7YkEp6udlb/
XkXRDF9N8Tyk7VfpD2FmWW3LurdTKZp0hy5jk6Gswodc6+roWAgZGrVevmCB5y6e1IAO9x3nBk82
hBhJdQbX2H3krNIZvNCDB0opUxGKcRCyfeFXS76GLoSTrT6t9Q+1QyLQntGjGqs3n/MxT9ogR/rx
OtRRd1zCKM76ZYIOwBGC2jq8SUYrMkPUmA9eHe+MCh9mnN55NUZXMBthL3Kb5q4TnVQ31SfPirMM
O+8oRY1vaUzBH71qVGjOQnfLmhhgjvV+lMDO8rRXe23bIaOWFUR2H6yLdkQMWOpYJsOQGHyw/dvA
9Mkky3BsnYQUXe15N2wZgqKaHHbf1JKeeEjabCLV9SyBVzVpXPoWh1/HYZAHcC2zajB3FmUgasmh
hXgHxzb5fnVw5RiWRItwb2mVonck9XGQ/EyZm+CUnYKTjul6ko3n7EMh3VLIAW3hVO3W1p4cl74O
To8Tt6lNjt2vPTp1mIJ3HU5OsOTUQMvHzfBFJg39rnlfpAzL+C5pms+1WUdI/DQY1W8Nqv/tU/bf
7/zcLIJ/6Z+CNP9x8e3fH6Pbj/5yjCLP7SE1BB/8N078l2MUrckQ9mUE99LfuKqfx+iPFHCMyS0w
Hzzg5b8co7i7KQ0C3Gjuu0gabb7rn4CnQu+P/dEI3kaSuiREvYzftv0Rv3bu0Dvyuk5F4gaCssv8
0cAyXawtjeH9BsZ6x6Vqd6D6jrzn/pClnH3p0+TUz/UO9fUeOuM6meQRYv8G5UDphr3NuyYRV12d
iBvsWc/WDV/Rn3QLooF0EAf4oG0fY1XdNO64YkuhbcZFk9wZGqyb2G0Gt+xI7IqCRIsLyeter6ye
i3QN5z1aPl3eRoQDZR9ZXntpuTZqwLZtC4/Qcq1EnaVuJA4TGNsCm+y1sQNAB7s2eZzqqGDoSwI+
dp9mD6KhseXijxody7DNY9CFWaSirzHeZz4ACc9kigJpmsGJuajtIWibryj3SWkrIOZTz9qss+y4
8rA6dkMDqhbtOcEdd+9uxEK0sQso5cG9bDxDCLABLmWbORvroGhzIwA/RA3MimUNd2M8Idgl47wD
KBEn9GbYyIkgWK7Q1JW7YKMqgGVMBd9Ii2VjLlKFz7SV0wV8/pC3VnS7dXb2cJtPEZCNHuhG2lT4
u5cmytbFOyQb32EBeswAPihfr9eNAJk2FmRq1GsHOKSaBCgR4CJg5Zps2AgS2kJxbEyJ2OgSvXEm
w0acdH58bICgtBuLEmxUir/SUm6cyuIInDo41n1XX/tAWUIgLcLtr3ogLl43nYONeekBv0g0hvFL
gcPU8ZiRjZBxZxxSIaAZzWmuAdFIGVySiLW7EXBrLjfSpvV40QK9QUV6224szgr7H98e+JyJxPcY
jnRJh06Uys4mDzeax//B9WyET7exPk3rJqDdqlJT/Wg2Hmhu+IWG1ZvdSKHOIWjJgB2KRvc5BEzU
BDIpvK4BWAXOiAA4oot35QFAQqP4WgJIUhuZ1G+MUqXjI5XAzFfgS+Okb2qhpXMnRNKtn2gZtoek
xw7dDs/Ag9C5Xeezrtfwwids582YfhGtez9G6hsZLMx9pBlWuqMcIJNeTuno7JTrn0XHrmshTqaB
fyS6W8iOtpCaTfuumpZjXEXf19iZwP4sQbivpyoBCcHn9cGP1wuVSu+9rl52tI5MtgQxfm+Ialnt
l2TVpU3YYVmDWxV90Y5H0VZKn3jqZV1Dz8pXYBPH6LgwEPbDejutAIbmGkdeNN1hs8vUMhZwaQfQ
xhRPn6xuAz1ekShAioOMZzHV9/Co8srSh3UwCmGHKciYAZ7sK4Q1QuDU+5R6wU6h/7gL2njf0Zoe
ZOdgW/IZ1Jft0Lmb8OTwwQOj5PlbhKC/JcZ5TUL+XSj3W0/8Ft5H97wC94i8NsiMHMIiCticuapC
L7oZPsjkVFdpyy61IdgmXPe2Fz0WQyK9G2QkUA6gAeGuy+cEWZX1sbkPFjscAz6/eaLfydB9tXVy
IR3ap+glFL3BeiGhDvdmoi/cpBOYAr4biN3PlSjcQd2mdXd242a36mHOI1ldN8lYF3XcHgTkzQl4
yROZqgK/ec6DNHxEpeXvWSR0sUpvKAfTmFI6/sVgGdwmIr2PrD6YLqxz3s091JSf+UODGACyQVmU
jAXeK+R1q0MQVfKdQZbkox1NFnfoKBDxnaZf6yG5Rw/7vsVngnPAy33Ku2zsyC0yIjuXwQeu5haE
ZwVsfl4XcB9zs2dSJiD1uzSzo/OtxssR0soiiuipiyhodNAY8VTP59DxeIkv1B4i39wb3hVeP0C3
itorJoJ4gJEEy1bRo4FqrpyiJcGZgTzKpy55c/VaH7EdZ9SEyByFZucw+eDX1T5ercopi6fS1B6w
Eaq/wj2tQeAFexUlKzwUeaE6UnhqhocpMlehq5vcCeQePdcsaofrRQzdcfCWGzqae9eKEl0tu4vi
5CxkenAQmHhkq512y+R/tikKR50kdz1LmnLt1uA/PNpvvQUPdv4/11M/bon7eyW1/dBPJYWhkyGu
aMDgEw9W+Q+q7K9KCoS6t81QQEMCpDm6GD+FVAw+Hf8kG+ARo9TG6/2EOyLMWQKLkfi40xYWa+L/
GSG1DRf/fTsCogyvh9wwfOYA17f9Xkd5VTCitkiia7Y6gXrywRzjvOe29wrGHDQICAIkNYIjbfA6
iNjIvbt0d64TIFYWwKVQtQFoNSZuFWeWxFoee6HWwiZzEGVTpBt093V1woa0sAyia23vRN++DEt/
H3vszUDD5EkQXNuYyyLkUV1i2wIfLNmHSFiMQ5j7W4+dYYdzcjMiocWbFhxoa4sl0A/Mq16HlCOS
I9xmtUXHemqeYZXrvK8nGGeRagdRMLxqnIvJjvwSOhapEtYc6rCudn7VLaU7cmwTfB4+/GZ9owg8
5WPcV7k38J029ZKLvjnIxjmAixrRCOcfLljPfYcVV6xh/1RT56t/Gbi9iLAt0EXGx9OtbV511aMn
yV0v3DK1875Z77wxflpm/RJD84Uc4bP/m/bhv1thsw3Y/lcL8b87RFy+vf9xKf72Yz+XInqD4TYD
mMDrQ+WQYMH9dSliaE0CZspFjeIG3q9rEblrF/e+A2IIkb74sUx/rkXUO7h5GNcZ4gYO3A2PjuKf
KGrgA/xxMW7p2xhjkhJ4kbhF8Q/MCTFUphNhE8qPcTiRLg0vipsz4Z3Mo0k9x5BeshnbA/8hx9gP
aTZBSFu5gnb0THeXsoHjxLR3Iw1PINnFTnYaZPhqAQwhobGvuzlE/4ntaDuzI1xpN6dDBZBwQUou
T2fJd30ydNODpcOXlKGt4cQJjERYg02OCG14mo2znqKBG1blltj6NHVtYf3KOYyOwpHMV7BKbrW3
HuQ489oU+Tw6Pw+YT3D2IRYuJOCAAuqHYQrYUJLeurvBI6DflYNk2pzyQgQrNHpXQw9syQ7lpec2
ASgqqZdHoz/uIjNckwhyaA5Eupu71WRONcJrZHw5qEVfe1qn+cjlF7XQK+stJXNt4Wv/4ob0vKwj
y8YGpGkNjyRrCMmXCZA7xzcMrBKVHn4Z/V4tIn5D+TVXOxkB8AcsAR+bae+QqumetcEDaVw+HYeY
OeNdjRjqAbhDziWLDxLShj/Eo5uqjP0QsEGCPHPgQX1kEQQu4nLLcZvug/Mc6nft+a2FHI7D4cQh
jyVkMoFcFpDNTh8XAjJaQ05jk8ujevi2cP++htz+P/Ee/t02DxgCWGr//BQvu/8qhHr/9g+she0H
f24fOMmx1BEMQ3ZkI8exPP+6fXi4AwDWQhrAiQShBtDo51GOS1FjQGRofMD6BDSB//Vz+yCwKnDF
IoByeALAGv8UVY47I/64fWBqKqyP6MclrNisNtrp698S95JWJnK8Wd/ALHxeuPV2cyALB1Q7Cgat
bgEZ0QPvY/EahQNyMFEnszFxcMb3SLxrZ+anlSIpD6ZS5W4VvrS6TQrVEIuupu/t1hDh8n7DASLA
PfkYTqKUVTrnUuvlqmnAqI8c7XJD2CkekqdU8yNljKMhjB5NEokTRoDSA3Cu41ibl2qJt9j48KAE
s1ns1OnBc+lXHs6PJnDPSE5fI9ADlplWHsqextvZCPmaYXGuOnRHrfTWXKzpubHdl2r0T2M8aGAa
04M7I59GJRCYaYndDHHyj1i12J5GgzAWkJBdKsxnLOJPsLNNgUD1VGg5X1ITvHJf8NMwoW0C2fQO
IOuOwR444s8EEd/ftBDkJJi3gE0sxLNpLC0x9BLZt0rsoyF+B06yowI50oqBg4+ApHdeaVqKmFU3
7EOHfUvUcr/ELT24KVz2fo7AZCzrWjS1E5eTY24StgRZTf3nuiKXOagAVvqeQCCciIwPC1LtvN13
yKMF8fgGCAEubDDq/UT0zbqGy5m49pkg9kVujcbmN4xmRfqXhCq9Ys7wfZ1YlFVgu0v0J0DtmM3G
XDuz7+u6z2TdpGjuWnYXtP4TkrB1NgAtOviEZSttgy8reg9DjwDB9DjFHb0eRz6cVrdXsJSd9jBE
olwa996DpQPjBH0YXsMUb936uV5QVldsIlngjE0RULgOAMdMEQkQc44jbmlTVVms6d6P3UfgZ022
NOrbNJkDvNpTOHF8xLYvqsa8DFH9LQn6q8pp0IXzNu9KjSghnek97LXNmzD44vjdmzNAh8LR2ts0
FIj5NQffpQ8yQU1qpnXn+AHP5Ep2FsC9aZKCd+1VXCXAFlE4Apd86Ff+3e0EKUGKxRmMEOSjW5A1
s9N89WLnNfKR02bmvkOKzM7OY+Swt7HrPpmClSIn5yyNunaD6snw5myXHt9W5T/TPuA5U9UjcLkz
wl5wKHwa7oIhQSKTpNfcD79UyfIUuygOOwofyaCfngGP+tBher+o5poOCuIVpyNJ5pvFC+8Di/fS
V/Wd0t4RMihHiXGi8M3QUDwPTvRB7fhMQppTHmH2Q3TD6vUQqB6dslpmrbav0UTIvqFoVbQ1As3Y
5uA6SAfm1hZQr4B85XOtXpXuT0E6X9oACQl3fZ44hinM0MK5DJYjWngbyLmNlXC6e8xe+AAZiKB2
2yk0lch+YwhKpKlJWY1wJ4H+9TuY8Ic1RM+tGfoGYM6QG+3tiI/hEtuOi10KwcU2nG/F5M6ZD9GC
1qa9o65FA9WVBxcfAfaku8DGl2ZKv0aoLbIhiZ/8OLwEoWzyYLLI6FuU7mLb4hRbi5m6D37Kd12C
rJg/6D7TGPSBC6y7Qz8HudeNU0b7Mc5jPG/TSh88N/xIeuTBqU8uUE/VnlLH2TW6u/eQg8WQC5hQ
1k8+fPBaJTxOkoXxUNpg67/U6PNgJ921yKPD7KseGonGbq28R17P6Mh6Sf11YM51DDakxKl/v9T1
y8LmG5WyQx+R76sRSznyasGgBxeDN+QAJlxHTpoBFulfekw0oZfVpzYb4xkxTy86R0Q9phYGoeoT
H6kc8YYeYloO4RxAI66vFdKNWTLrj3h0ZL5O6jasu2tGvZsgqt6Mnr57E8IoAVenbvXLloZdOY3R
3YS48pQCm4tdJfD+ZUk6c+UisAgmibtZtCD2CGTkMTCYwlC5J9BZzw3w/KzF3eD4a9bXtDUXLe1z
Hy13w9Lc4nnAh2Cmp74FwhUxNxu3kSGzCys6mafMpOMDD+y1F+sTKM9z6Jon7qew86LbmOpiSEOe
EfyLCVlSwJczaOmFOORiiMi6GUEPuggvYo8tkO87cMkPqkEXPwFhQhu0b4c4QG7TgxKOvarbx0Nz
XFfiHp0WRFYTM1S6gmUYK+Mf4crVRdo1sCODgZeti6YiZJ2HLk+9wzSb5j9e1W+9FReuzj9XZf/d
DTX//GNFBy2Hn/pFkuHyrCCOEdsjW+X2iyTD1aYJ8jRRBHfo9zYV+Qu6HgFsqgDu9zYH4FdJhv0E
fRcouRQtG1hif6ai+zvAHCM04cLiD8TkNZzS2zSBXyUZVcnSNAHpbhxPfqH1CAJu6j48Gx07D45r
g1ibVlOZRD2C88luDehVauX1QnpQg0uPbgpsFyggJ1fJ5O9o5O7gzzws9eyXJAH5MFN75Y5VETsC
KKk3PtcE00M6r7tikezy2VGHrtXvaP9S7DHht8qvdQ47FqdAZM6GzN+QgpM5aVEeoTYuYzvjvLR8
Ld3J6QrVIzQG2ApNmgnwRmhddEbQ7N1xYW99hNkKn3bnyUToQNPxFWEzU4CC+ybc+IRUxVBIg0gy
nXWb9TTIIoakAU/S2zX1XuYKrllDMFkFnaYl65IR/xk3db7Swc/6nlZZUh0DOu5sIqpMgkPL/MU8
r4xexoSfh2o4M7ynTFi4X73vY8tssavTvmy5f6k8/7Gy3YjqEMAHcBzkZvSMhd462JfD4NAHts4r
MryQSDmw0OBkI/CMhCN9GP1meAP8+Ww3QTVCWSE4rvfdJrYaqd4MBeEHFdZvciycIpGFCyrlaRNr
DKqNQb0FElN8pnq5cRAPKtt2Wgs/gsm0brKPqtTZO2K6D6AIow7iEaAp6J62PYv4fTTvYGx3IfSk
toHYTwoTkCZNS4W+mXhOPcYfOrcb2s+art+QWb9fA4Q4k2kQiIMrRsg7hthcV3i+j2htuQcz+nBK
VZXehH2lTzat8jBFvbsk8WFUtslc5tY5C1N7HTQrBGEt+mUPRP9l4UuR1D27BEZ8AtvzD66gqcQE
L8LW/+xz/7PPoVL8F/tcj8pT/YN9Dj/1c5/b7mnGuBIfVjfGaEceqLJfSk9sfmG83RD7+8YV+QuC
zC7mQm7DPX8rSv9Wefrw9kNQcL/NgUv+zDaHffaPlSfyUaiL4Xxh6hzBXWm/3+bEEK1tZCtUnl3w
2Ar94OvoDIv0rjUYv7bMITtRFzETLzw01jZF37bVrppjzHcwU5W5EpnlxGJSFcDzezfEICc2JF62
hGOc6dW7G12JKijFa/FEsLJrBu+YUuVD0HcPKgFbtHJBMk+YiyNdjEbhMJURiMVEAxNh6scI06Ob
fQeY1SKvXd4/4qah6IIJIvyq2YYaiNiX6Pxgifldsg/1JqtnseQxw2CtVfFHxgk6Uk4PiEzpoxyi
XUVGiqlLoNOTsP9EhukZ+Q8n6/zoIALnwVlbD/6hvqwb6r1G9AP5ziaT0QRfFEqOq2MDE5YG32b2
roJ8TOkBkBotlnlCnmuF+5lgLhUKEoNxLHDcysE278uKbd6MKIrG5eSNEPepizek5uqoFbm1DsaN
WF4669U0eicTkreoiY9ojYfQ8Jj7lCbRlaIKY4mMycIZ+l4Y76aNUZ9Td4Kn5uIrCRIN9UX1MVGh
myHVce/TJbxLHfbV+PxOcwKouws6QAzM2/lS+LCWZm8XwAwtMWZlLLtWNUXVLl6mXHLl1+xopzpE
24AVDeH3ptXYctbJK2WAGNoPviJOASAA25QlleP8QEcXQ5689IU6oslEPeyl25zQj3gM0/Xdcyjf
97bNRmx7zczSQvggGgbkQrIhHA6LO/t5PMpT4OG9rEru06Bv8rbyuHs7hCN/IJXELwa9NrTiZg3V
13or8/3ZucUD/p6KWmQKc+1OrPVeFXoDamsSOCREUHMJPs0yfc6JtTu9tRSkJtUBUZMP+LYuxgf6
LG/R59zV6EVEPtXnnrjA4JovA7oVcELRwRNsL9DHkBYFjMaYoN24NTkAKSyZ0vp6bFYsn/mR0epD
soQceACl3jj9Q7UGSJr704tEFwXcAKZaoK+CPmKHYzDudwQ9l5hGT4q57ITxgXHWoi+D11yu5Ayw
zqRClCONVf4j1zErBHS8dPvyTGBzN67iAhr4BaSEgrk/TZnWnJ+0PxlUoBhQxixqxU53GD5otHil
7tZSYkzdNgCJYMbLwmyNJzL1z2RTwnRkQOmhjbUPvgUMPC+rTTnrTUOLTU3rTVeLHwrbn47uprkl
Ycfkhwrf9LjclDm2RSAWEOuY57ZmAvI9HOWhgZxvBBjRZlP4Q+eAW9hUP2If0P9bJQBjtRhDD8Ed
/AuGgt02NM2Enp88FBGRmk4CRUUaqod5qzJW3e+R+UdHoa9WQKLe9YySpBYR32iZ2z6c7lq6PJOt
eEERoyukC9qtrulR4CCadwpR8FitH0dgQKj+UQthjmGQpSiPWpRJyVYv9ZZo0ALmUqngruW2K83i
lYk/nPyt2rIou0KUXzXKMOQfrxHXvJVNAo2GQq2qgDyg/HrtGNRFKAkpkU1501t9V22V3uiD+mXh
2TiDKOcOTw3yubZ9xtCICIZXzIN9SiK/ZALJsqgWxY+T6z9Y3VZZ/PMjHCn/9/lTvet/cIrjB389
xbf7UdDrBVEeb7zdX09x9y9pGuGgxj3BOLB/P5EswjyS1EWSFkHg31UryV9Q9OAMR+2zTQf4cw1k
jAj44zFOgm0uLH6Ti0gmbsP8/THOKcFsy5mIG9ft6GHAKFNGIZZVsJxRhFuYJL6+MpMv9oG74kEy
0y1vQuSgef+hQl8U2tEHLJSoTANlc7rEQdaETOaYF7pi+1r8go3EwTiQeC2cxfS3kqYvLAJPNasg
yI27nhHnulJReCAiRYrHYXtph5eKUJGvklxWZaFzRTsfpm480b5B4yqMTitB65KGyQVN+CcawdgZ
a3KXLklbcFVDPqh3Pwo5UjP0ee7RhlyQrkaeEJxKO6+XmCcvpkLszAuC17QTL7GZz2mLmVFJ9+hE
/WUkQHiRMHriCp0Nx0NStFrOyRrec97sPOp88cG2Ukl3UCoJSrrhakjEK9IB1wHrMVctMvvZYBfB
Q/EONkVn3GAEiJOMZR2vLINz1xWBMvDQK2nBovCpnOfZIiyMEVOLAQNLg4Ng6JDh6LleOuxVFFTc
PmrHXRNLnKgzAHiQZbnjr7dBFX/1x+GxnewOMZk+Cyi/NWGMRmV/rJE6y6pE38ZT8sRkRdEPsq9x
jepq69AWkHht3vFa7AJ0bgvuJ/tRrXfK8GTnse5kPDQ3121E1ug/xUyBB+z8Ko9FetPMiX/dVcnB
EPRYr0N2jCFjkFA+x7ZpctwCtquTGcWSRKJoXDEKLBhnJIzIK4sxgHWS3M86Ue9RGvOs7cXXNolF
0YwoUHzp7TqCvJBLSzvaQ40GNmrE5kOp4BPz/D4xJJgeqAyvt6yVmSUFMDD3JcyB8DmIWsRKLYFU
q+pccHnCxLhjF3kIMLKdIhRnILKtpTXASH0a2z35UUrxaBrLZXbu6mH5lq7tovLIhQ3qQlCsMtRw
ReUpdKSfS4iONN4OMr+CSCVAsHGnwsHfdIpQ5h2py8caYOise8AGsFzx6OI5Sl9EgFYj2xQPptHK
sk6pQYBhgqWLZBGmi0IjjeAzsyDq7lNM8Yv9KsgwG+DI0xgTzLSHATTQWh1tsC6SbioJtDGIS2gy
3Ifr7pxNp7noxZ0tpFsFCRdsWm6EqAO37mK2X6COg8Z7YeOCeNqKoxnkGdTgeoMWPtLGm1KET3tb
QTqy3nWLYVOTMWRlx+O3ETJTi7s6DGGtQIES0ldHE4trA64im6FSU198Q5QCMgn6tQ/7oUzgKxWO
cTDiZpO5S7SJexlRUBrOHioECIa/6WIFT+mooZVrIW0uKzwGc1+9201Q+1Zeqk1ic2htM4QH7sFw
sVDhDm0/2wlLxucCzzaUuk7RR9mkO3rJwTZj7RGZ/O/ppu+pwXMXbJJfcPAYGEWQOQP0xEwlv3J8
E108FAtO3ctrMyPjihR6UybpWhVmqy6mqhI5Vag42DJfZtUiw/D/2DuPJcmNbNv+yrU3RxuEQw3e
BIHQkZGRWkxgmVVZgENr9fV3IYtFFkXzGucctBnbiqwUEQH3s8/eay/TSOrKu6jm3WwKnMh1Gkdr
EfCKk3yFHzHNN6RRLJbyBveirJ9XJWOPUdUd0GE+WNFcBZ6yTEdshoNNP7EtKfDg71BFx2WWSgiK
IzZUN5kwjlhd7tRAvQ+W01zT+0OwnO/GPGOjaYq6jq/LUaufk0+AovUJU2zAKnbfAYufsEW5cBer
hcDofMIY/70TqCoI94WE89/vBHe/dNL8+Uqw/He/XgmwpAhL01Ai8XwQDvvpSmDQkYnF3USbolZr
Oa1/2SkL2D8wcHCO/YYF+mWyB/D+KXYSfWO0x7n/jyZ71hR/vBIIHSgOjHlW1zQ0/lHA1LA3d0lt
FZexVu1N3oslhiUYaMWwi+y6W3CH3EhBIF/zQ6hHgtFcti0WIPvUUYtnid50BcQI96FhVHdxZ4md
SeD3PCRB+ZUMXEbgupenKLUn+xN6vSpdhQVopinjpQH0fV3BVHghU9ZutACBZAUUPPXB/uTnJCzd
rw75FozJBMg0TTnoIFIJmFrZA6wW8yXt7fpu0E2S2E3EwNTlBUpDp/DAN6eCW7HaepHR6B+F2aXP
pprmu9BsXD8vg+at57aEb8SR2EHcYWvHQ33sor68IcSyJsbT4kAOS79n+dZfRwqL6y8FJhpx1PJg
nsZNWyTdVptBqH6I0I2jcyTSrmL/1+Q1W16MOnaojdFdFLs8WXCgVN7cYp4dzg4AZBCeoYhGsSnS
wYE8kPZsvsk1h6k8WkquTNCyyZTFvV5la31wwbAF44s1pMYbMgCSpDJa+QaLqXmYOmu6A6M/vy1p
CqYbXarHcEiAkIWauw3KPnznnSRXaj7Pb0ETzR+WHJ9rpdrkoTwoy7Y000gXDmZd7kjJhhr5/Y4Q
3uQox1Brp1NSjCWGc9Y63pgV0B3kEMpNk7UAYPHJs7ZPqidhy3SfutqDkVTRrlSqyYNI23vsqdqd
FTfWnROV2b5VWvehVCvrDCFO9WE+uqqnt2ZxHzQqoGPGmnfFHpSDkbYsoyH1x46m+HXbc8tSlGZc
A8WpWn8MZPnNVopmP5VBfkuEvNmb6my9hrNm+7Nrxw/c+uKTHYv4qlGq+AVAfIFuZE+nJpmLl7kb
lSNv3nBl2PlwHYd18OzM2fCQxzWbsGKUd0BDy0vUp8zTWMiQa4QA0No0QgO97UbtuhnNxg/rabCX
vau103v9w7Xws6fGwR4H42ayuIAwJlraR1mU86aS5PhcAtFeOzjmvxLrLxLr39p0odx0zdufn8QL
ePGnJ7GNd0YDcQZd6dOn8+twRgsW1hTiwWibnza/H09iSjMQ0fkj9E8iSQxiP6+SlsUPrkLC8t/5
0/9glaTby6ro98FhW9VIOmE0BA6G2vv74WwcghCCRCCuk7m0p/1s4fZ/7yOjDa6hExhZRj+Gou+c
YEGbd9HdJELBvlWUXOGJKmoBWGY+F8m6c1vhN2am7tQhAXU/GgRP+uJNm+ZwBaP+ba6a0c8MaGJ1
Y0F2JedRBfElrojkh0G7LrNGeL0DFsCZZha8LkUcbJECyDlJ7w1K1q+juk39yGqPXV6yoLblU69Z
N9LIt1aa1ZhOfOIcW8y03BHVTEWkKm5mlJXCKvZcRk1PpgXEk1ahvgJQAQD++c2N6xvLwovSAf9H
UtEvutqmV52Yiw0skJwcZ1qA4am+GUH41sUsrTLFXrfTBwOU6YMiWveKQWg1y69GXTyVeYj4xmS3
E6QOV0y5BJFKjANGwdA7O2690vrxaMwyXuv1/EF0ctMV/VHjLNCIaDZlsW2MZl1DC6IQgew1Gxmg
kMZHi3kCkCS2fp5bs3EC37mbTRhCWJmwA9pwYyHKOwtaPk3LXQbGbSzi+xT2PHaam7JWj3ivV8AH
QFiY2U3PS9ot2Hp1lHW+bRXN2ThWedDM7D0HJLoCHndSe/cEUIYMCpUQ1gHhoL4hglYGrzysQn3d
GEWY3yhzO5VbzuiJK35CBGSOSStZffJFNw36FeoBykP3xW2ija274Wpw+GPZDR+MJ80qbkYXy9K4
a6foLPLAWTPFT5uqjb4NilUvBocXwKr37TzeaL32atREsov5RfIsXFlmY6ztUHyV+ngY1HB6TaMq
8bC6AvrCDuP0QKZM3ByxWd9A29jZtaOcyLPcT5IfC08qEn3oXAdjg9k1mlHJTL+LWjoIEstdt9ak
7mb7mxYXAnZM+9i3gEOyUuh+CsgmCUmum4qESwXhq9RMdps9ROQi+hIm1Uxgepo3zsDeAE/XVlea
FzkUu4KPzSp3iAsD8sFR0syIp2w0NSAZ4yACJGTlMgXKc92qeN4MjaqC+MEMohAMkG4jniNdwhXT
HfawdkKMvC0OuUnGNgJS1FU84CMr+dZE7XWZibe+oSMjRTZNpviMmHwsl8gPo/Uxh6jk6YbR42zC
QRHJyIvbfthWI7SMNmKQACf6lifOy2wXa6Dxe7UJX4zEKO9mBZ+dEjmwxHTzwVaiu5FNiOoOz1Uk
iKdE7n4eq2MQOuUxKJpnizoOGHx3imXtI8O5VtzmJlKtj1LM5yyrd0nBe3O2ptkvNTJ9AMlu+546
CxguYSeJtUXuOhnd3OPTY702fbOP9Li7DZye+0aebqiMOVpLmPzfMeNzzND/9mi7ohbxzwfb8t/8
ONggHi8qIVYIneow7vG/jRg4Wi1oxkwyGhYKZMdfRwx6EGxSusvSkdQ8wZCfory43nHBA8OwvquV
/8i2arh/GjE4zJgtCLqxdGOVufz5T7bVZlbl1JmddQ6NfD5VqBZl4xX0vghEgrCHcTcHnd57im5F
KThd7mhXk5rh1+5kzA2y5dp+5XRSRdfSQ74GyUt1UsQ6UDoRu2swMDomppliGeKCkM0B9XWZUvoz
F+zF62YrbsmpU2MudXvTGm8ALCMVRQplKvbiDejG/ElXO7ni2rBrc5spf3ESVD1mNGKbnwaNZhN0
6n2M8aDOrXRNYMQHbXObL94EiHe4FLArlEV2zKvgpGFjmJoSNW9xNpRlRsfQnoMWjNvifZCLCyJZ
/BApkX5PLh6JbnFL9OMM3N+9aCoCIIQMgoQ4K8rFY6Euboshcw419gt98WHIrn9uF2eGhkUjk6rp
Z5g2msW9MVg9trbF0QHRueV2O49+0lopIhnOj8msTRpm9LXKstKPF3/IgFFEEeMxJRa56hb3bxZo
X8exLLgxNBTEVDu5+E0yjCfx4kCRdf3YmVO2iqvhxAiJU2XxrIBDv6OaZ1MtbpYgCTihs8wL6qDc
iwhS1iiKc6wXt1U1rAK7PKKOrqIxzrluVFwj4DxhnxGQ1XgE9n5rqF5P+CCNhLLqy/CAyIJHAp8m
A5jByDDGXp0WycaZbGWjGC04rFnb4ESMT+o0b7UwfOpQcFdJ4UqUJ0P6ihVeRhtDl3DblVa1hx6d
xKvU+iksJt6JiXmcJu2uRaazxrT34lGjiiK+DQF5SNPwgXl1qLyzXAeg51hGKsGuToJopY7uhXS3
DenC+ChSrdlpJSElMy/Oppa328gAsGckDyTyST9XHszda9hdNAG5CfJY6sYrTL2bOM0eB9TFCfm4
U40XtaQTwY7NbT+kd2Ni7vOQqcoKosyLIHitpibueaPr0bEsa8h3Lhe2aBiechspLNZbdO/hURPN
vWgSJPR63kLdvo4bEwo/NhmzfR/tICfOjDjY2QmGnkTzCzRl32i7uyCeE3Z3Gk64KdyHjSDp2la3
nTW/AGF8rUxO6lGi27kQKFjUCm0l1O6hlyrqVyLYAFrRAefvAdLsWz7DQVFD1FS90O5c09rIWtyX
jbpVjOIygNEA62/cCRi7vhOpqNqjcmbcvpJ2qayMRG5GmT5JQQI316a3LJxHUIfhrutrsZx/YMeB
z/hGlhYbrlngWaqe3w+b3nScnaOLQOy7mrpF+qxPy/42G2zepHoK/ILtDA71YZM207WmiY865Vwu
ajoObPuhoA7hUGf0klna+IF19jYWlG1Z9Lx5WjpOWBimb0OPZsd6JfeDUBdo4bazKptW26b2ACeE
wI0VJLx1VIOVogagoygloieAYJLA0S4JxzcranOuOXm+Bltz1ZnVFY0rHwm0Ur8gRevVycQbCpTn
rKjf6kEcSanuJuZYSHf62oImaBvJsEIOPKJg9xsix72vd9at4Dq8D1s8Z5TDcLnR4ystyQ7THG3R
Ho8Y3G7iOjhmabyP2uouiOj7Gl12A0N9morg2lLK+9LBRQvatcJLFFpHl+ciz0ZYA7SlsbHphm2c
FE950U4re3D5zHKrN4OhXgNHa1eyHx7dBsNtVyh8pvOSv1wmL6PRwhvjrp10jDCZYxQrF2reJpmi
J334GBaqKUAZuc4ncYys7GWc+I1qbneXDq2+DvoC7pvtroxGeQRs/RGFLbTKxFY9Wkq4IRVfoNdS
q6F+6zXeDGVu3Zc1L9ggNMM3UyxfWphXmyqzL30M7dNgSb+Aj7007YFTJrf8qP7QRddzJsTGZB+7
CnsFq21qn2wOd4i76r4rEolS7Ix7MZh3ehk8RyjI2zqVHxnkASysw+hpw5zvmqR/MPJiXlk2qNFh
rHvQNf/ekj5vSerfirEsddoa8EnRtH8lA/xekDUNXl6uNqiyvw/56Gi1mvnDM2URSPwR8nH+o6mG
DuAbu6e6VE78JgPYXKRoW+K29N2G5f4Tq5W+1IT+QQZAjsU6STME7Z2fO+Sfb0tuZs9ujpPjGtUU
7zyMhQJ/9aiJQ06DZbyKkT6nOOT+MionJ1+e8mbGVB5b1Ejw2dLa+H4M22PijHe9Op6mAFdSGVlw
nwaHA07OB1e2j0M2ne3M2JuSQA/+RK9aTJDjyJBDD8qIM1XOLHgyigsRJvBh2+64ZYf7zXBoshg+
o2oyITgkaR4ifIO06YhNF8cO8ykkXgbMl4ljymtSMa2plst8tS7vhYXlRHSKzjIT1a2c1dVE34EI
+XTWefCEeOi3uoWFqml8Uw7vFu0ScVBlvqnZX7BJkFCw5LMF3dKDyb43RtL5FQ9jGK7PVii2jk3l
UTAYm4jJzTOabKdbvemDCaPciHjlJPoa9On4znPtPWvHa7WIKgbM9kWS1wH7kWyTZNzTt5hvtHGo
/brnWU2j09eQW7Y/ajkxaZMn4VLzF3TthxXo87lJpjdZmsEReQWItKlzOofWWskd7Van7tMXIIhX
0mS0Kxixt8OQHDWz6tnHsBjnoVi3G1DYUKpsySbJLqixMdQVjQ7gZiPWQqE7Yz/V84abscNdjtEW
RhSFFkGqTGSZbdej/ytaKxJM8qTKYJ2rjTyykky3VGC0d7rZz4845shHqKBFkyZVr/ATcZYMSfJS
1Hhb6Ce0nllgZrdNrVWXyNLl3tHqkSs7Meh+SosD6E9WAooQ8SkY0NAh346nrp4BO8yZGryPDmgt
HwJ1tc919YZrl7aOwFQ9qBO/+G0A7/9Voenpm3BYZWZLHHNoIaokJDSnDItes4Q2qd3gfVPDlCXP
2TKHjuQ7K6JODXlP8L/uSqm6c71EQYMlFGqrPSuKJSgKiQXlleyoWEKkVaZCR19ipeRLQSaHXrJE
TvMlfGotMdRZLJedJZpqLyHV4jOvqss7+3uAlShrsYRaaRTtH13Ay3sLHdKLlvCr4hCDbcjDjksw
Fi6vPzpEZf99mH8fef82GHD1Vkvuxn/xIF+Mqb+Ove5/KChgnGSxZgtUp9/G3qUp2zUNh0c5xRlL
DPzHc9xest4a1tjffLY/LLO0/y1sSFd3DCHspW/5H8i5GHP/+Bx3BIlxdmK0CQq+jcVS+9PUG9fU
ytizHl1n6iwCAImt+TpqauTszTrPw0tBN8th7irr1YrApu9cJUcsG0ZleAGr2jy6kSjuXFeaMwUE
3YBbI7fbp8ZAh4Xum9rc92KcFlJ5HHWDzXM4Cxpb4croo8WWnlgN/rKut+7DdHobwvmNw4Ty0vHW
ahyw2pa61ZdOL33CUaolFrzvwO+UGsB8DPWmQZgN676hf2h6S6qaDOiAdNjhdvQaDcg/8LiU8I2z
AS9HNnuZmc0O5m5YQ2EZgl2Zce3szdtMWrSxAfifgvHMABD6mBHfqry6Kw39FY6TweBcDxumNCwv
+jxvHUnhT9EXcmUJ8za27BNS9LOeJZuEiqJTVlNeGnGTJmaHCaOxNU/geIXXV3LhnpPbviofqEAu
rwzKNfANC0yqi8BXZ6TwBtEzWpKYxwU7UimSh+kpLzKgFOWzYXEINZpa+p1af8xNPQHTpr3Yabpd
2tCFBLpSS1qfkSDeTIq7EgJUDQERVGOqkqOY30EVaJgOegcvXs4/CeyFXu4Wj3mUfGXQu3EEjL8y
/UKzxb1VLCn1NqYVyQz2slxsKBWRKNOOkIbRDcLOOoULa6JIxS0OmntRM2OEpv3VKvLjPBm35eSg
rasOe6kc82bZL17acDzmUlu1y+YN28M2lQoIQcoEVi2FtJhwHmOrSX3LGiRHnFxbJdErEzeCMgQl
CztnIyq7P3d4srAoN07r1WLfJhaOzyUtUifdzdz3lgeu6JzPnM8VNZB+PHUPJA3eg34wd9iGOrwR
6gaJ9wkgwrNN15xea29oIIgiy7eh9rfK5GyqYL5OE4lfVN+4wYU3a3EWfXdK3eQyT9arxDe8yROm
+hrUGFN70u7Vcjq2Fm87zYxPBbY0ZwGi0bb8RNmB4sF0liuNevGVUstNMiT0a2bXhlsfhWtd+gal
oV2k6NAWaAbVK6XA1C/qDxl0d7RY+1D21vWEDdjLre6ouMEm7KvCZ9F978T2u6WMV7XVfehBdt+0
9h7YwynuE7oyI5vwDB0d2H95HbB2fSVQwkdsDolgj2nnM39c88Mvm7/ouQJQSbgxu9YD7VKZYlO5
ybuiIDkv61A7SijUNrJL2xXOKTeio521+RP3uBqrKuetoubpUUk7UPgRQ1mAH3EFuuttCIKEnUh6
ozXBc6oU0woiBksJV+xcZz6leXvVaRjAOvECi/utNaBbm3zRgRmQhsI0cClAbq+5H2zpLtkZUKo3
MmANY1rCAzGZbyaGbKHDp+dBSwgvOtBdYBylVmMdHxPiJ2Ov4c6dc4q26Q+kALRqd1rsPHUZ5Kaw
gJm9xJAbyBVquyXMi+yfFzQ/jkK/wGWHKCm1c8QHi3oOaV7ndjZ7Zl/z4rT2+DRXMGxrTUuPrHXN
bcuvgH2wku40m515WeKB8MImCBkzrTbatYqhYC+L+NJTqdICGWP//feY/j5zoRf/dwOM/5H+z5mb
6cef5WmMqr+e0zq1eyw1Vdbv37ksP53T4j86dzxWsj/CeD8O6k8HDNYYFRDSD1H7hwNGo/ZXBcbK
EW0sJ/w/grJwF/jduCUI7pnUuLPldzn31T9YYtugI9475/olp7ZaTeTJDpOV0U/rn34zl+9r3P8B
TXwpZN42////6Z/r29/Wu/wkgDSXyRIHMMVG5h+9t1SeAIeMkuFiUha5byHsi7U5d0sfoMRVCGtS
GWy6qdvi2p26U5WUD7ZOwwoaElRVikPWSa0lx742XZ+rLu0/Uys9xaQTEJXleWiQEjMn4pOOLLWK
mvSu5Auu9DK9FKpkWUOZrOdUeuU7gPKRhLOFS+ccK+jSbqzibyBm7KPK7QwjyTeB1W9QVFq/I8rn
N9g+Sls8KY595YrO9fgxn3G7FCtcr3e47m6VbDwrinluJZq5OkgIvo67B6F/HoIs5KqvPbCAStH/
ejSpZb3V9e0NJP7NILon16k/kPZfw2zi9oNFLulsdqeTvJD6Plp2Ru7W5lhxA1i5JO9XRl0/FFa4
k0vePY2iI1yud0oHk02fcYBbPdG/dLGsKB2nWMoxuNHa+VXLYErOIr4WDvPTJ6kPhG5lJa+drT3U
TXgFQbnzCm26tatuy9C/w27KkcJYxDdqAK5qaUKJdPNOmUrk8BZFyHZf3RbbpzH6XcUw2XQi8XhD
+A7mAV6/eIvh85uDEunRGXul9B3SFNRSv2IFrtnTWafBd5zYuQ/Ujm4SLb1QiRBv4Gtu0Z2uwjAI
vVYTW3fZR0SLrUexzN4vK/cVpWCH/f+2yGFjGXPzyHVrXoXg8T2jTe+aodtrZtL7taF+UdMp9MJh
ekylNCmvma91ENdeE8VsOeb6q5bqX/UhZbWN5l2k7p6Amcaee9hmiXmT0XXENsM62cacr6w0/wIP
FaWriVYQR+7ZMMc+94ZkN3TG1gZzoBvBxskFoH7eYmRaBJWQuKGqtzwuQtDBAFenFdsY1icqBa89
la811RBiqHJftYeN5gxwjap6PKSpSaBigr4ZYLYUxtdBdffSBH8y471F7yv7x8Q0WKLAvVQ5K+Sy
OB416Sexvjcwj2p9cm4XZ7FTveGTuNUS5QOHHVcXdp8F78b7SYdKEjYtAZrBLwaOcyUzMxKU/QkA
beErCCGmTPJV3/RyAR4NL1ZsN+sxLK9CqQarphzxZizNGM2pjMmpts1uGNpnip+4naPu97FKgUhx
lVh8ZI08ubCtZd+i7GfWG8gFUbSexynbxD1ltwPCZzxwOR477Zaqmu1YtB8JDorVSGF3bpXPKKuk
3PaRqOksUXaTZb+Nsfo6m1OyslOuulP6moq7fmh2U9cdyoJlk8IGH/QL2ETV50KANY6CqoFTvtcB
WmoRToC57LeGHbcbVUv4ffbidblAt7AJ/EDhbi+Gcttp+fVUMKcUMdUjk3ikcM+5KhWqke4XFSN0
RB3sCp1l0f/1GP19EHF5inJcLMPegtNTtT9igZumMUQwWdNlQGb2xDY4jHfFFahXT3nLn8p1sidV
5gVHtvydH2+N/d8/xpec4+8f4nx51+bc0Q0ddPIfhro66Mxesbr50ttvZbB3cRe646tSZN9vFFQ3
hH9ZHv9XX0dXNdXWwPkLbEe/Hx7dljNL0lBy0XBOInXBG3HDPQ7C/+Pr/P70+/7r5PfJGahRNkny
7fdfp8LWbnZapF4s81hbhKAxOounv/+dib96zX7+Yf7wRbpIVRudePSl3zSPROfW/U79yoqHbOLV
UnPq3dZr5reNvns4Qzb3zv2V3Dw262B9Ex8Gb4cGd2p9/kW/2PC/9ePff3/68sv844u64NhswzRw
eX1m/H+a1FNa1rDLqNoFguc5uFHX6pX2FB4oJmMz7E/e4UXbjqtztRl2prnKjhiIbkq+XyLtq89v
5d90lcpr/t8vkpv6o/krk8PyX/2q9lDTYangHKBz/WJX+NW9hyUalQf8lqXybyz1qr/JPfx/DHrY
rz+lIP7CH3KPiRJEpso2bTR4PgLin8g99p/dey76v0tI29aonzYNvomf5Z4ko8B3xLpwxr10CNuq
z6/aQZ+sVZz1JYBKOpWRNoYGbOUnwbJwF2Bd8Um2bOOITVhzRx/Y5EdNnqwGOJgInj5PfM7ABZFZ
aKnlFW78jglbcnwA0pyUhhIgqno0lw2blSovlE/d5tA3h67QkpvWLqO7JJE7l/1TbiMbpSBdQlUq
5yTInQF/Q7WuMyV8mco2ugRBJK1LlE72xcwdjnWBw83wLIJYhW8GmZrfW7ZCARjAmmHdjFqAdVtp
IvnYQWSi8C8ZnhL4oga3xWJHP3s87XS1vqK97DB05q0ZiskP7PxRndP7TkiEn6j8oi/JLivq0OJB
HNZtDNjGeI+WFqdaEWer0wlrjY9dJM2VQaJW6RVfyWDBhEugSTDu+c40ELPIbbHWBGvDwHC4kSRE
TMy7xMHVG9OrOinyq+7a91knPlTBQrHJ+KWYTnvDyhSABYGi3cDfj8GkTF4ng9qpZJA7deY2UC2X
uix17qtU0zdFnoB4pyHQG2N9F+HhyPu+9rNB7o0IIc6EwOvR3zWT+03ytR5XlM2p08Eo9ZtA77LV
bERo0ELfFQlXGt1hY+tOo76fem0BR6tf1cL1na7JaN8zA8JCzTbL3bcwKo6Wax8bhAz6UBWWG7N7
Zwdpv6IXdjMGylfTnTepOu4BZ5zDmsrGPqj9sp6tXZYvinpQfmsL7gCWHPCbKNmXIXIhzk/5M29p
vDVub++shQHH2+uGtFLrtU5xbs1YASAWXKgTvDFZOXthpN0GpcLTEbQS+PnaXMUmWiHvN4SU4rmL
ERyKsD20vIJt022AK8rtaJIRtNSqWKPJ7bN+uh4r80lr2rPbyvsYM/1Kqs1jFka3Ee1ixJAw14eW
sofeY3h9VN9OdnBPEOFmrjo+IhrbD8CPoedKCWK/Di5YaHZTGihshZQvdaVEvirKhPoRMn2z5qYr
bEEZlSQNWyJV+JSpzYeitK9j+vA2BUz/Vdnlxirr06V+ZziRt/sKpPIgOwS2upFXVkwzi1TtI1hH
DT2QgqwJ86zGB8AXWvxWq+Wwmdz22q3Fc69E6gpYLR6SKbNWUWd8o+Fk9sDV3nYz9R6djWkU7KS9
LIMpK0OfS/oHfVkUK8vKOFjYXg1b5HTSZyhJ9rO57Je5Le/7ZeWc1voey7LhG45zipa1tLUsqNVl
VT1U8bVkd22xw87YZZOaUBgvEEsH9twycy9gtKuNtazAh3JgBlrW4hX78WFZlKtszAM25yCAv5CU
2VcDThy5LNcDRf8QbNubZe2eZdljtizidTby07Kal+zoC3b1JsKT2S+mSoCithitGyN2Shv3rjpR
/Vq9GwMUUN0ENLIgDRavA7pau54TMHv9/F4b+kvluMbOVZFuS9e+zF2fYw6L0HxrC7MGjlIPfOkX
UtHNXrXbuyhv05VTquluUosJTnoS86w1XktL3LUZZX8DFV8b6moHnxq/2I/LEhCyVM89WcA188NH
P08kQ0wQY7He+0DR7V2S5C6QHZF6bldhjVVRBQcxfGGIy1Zag11MDQbzLEdT0ndZjQzXeuQbenU7
5JCsJocEqEbRXCJpqzEcCQfAmHxJs4I/xVF5ldnDfsqC1ywfsWQr9N1jXscmZfBuLev4i2XnyLrY
cNZmjg4pjGlnARXeF6XYJMRFfTTHdOMQWvB4HmLuiavX2jFpSlS24RBsC9htNzDSLTRJCQy9GVSP
YdXdjEqOLRimx41FfcYGqPyensgTC1YyrlnsbAEmwqqg7AoL2TQdoq77moBo2CAOGge9NIijku7D
CBrmuyjP54cZc5ovhknZmItyzEqA5yp1jJ7Z9nv6BRebnIMP16TiLnUPgTsfFTlnwJ8B3QXJfEMv
nE/n552joKjODci/qCM72/XTpeyi+1xnxEUITjdgIKTXRUrNZqT9YlWsvzNLONvRQSqZNPbToAlQ
h9Po0kqUnWBW/aSQ/bYs5yN++hNwCx9P8KVnZ7o2YjIoVARZNHXWZ2qevjh59o59hZ2i7cIrpAAd
MogJScCZWJyEDDgzOr2qYqzqkrciUS5pLe8SSBYrlfv8Oq41C828/EixK4eZSoGGITDbS8FfKfXc
H1L1paQX1es7eQ7cjuUOjj9/qOpgVQTJMXcw78djHD5WOCJJ771YUPU8nY8utavfCE29mIYCbak9
l59zd5t9CUzdXdP4mdDTmT4iGqMqSaZqXVFuZpWWEyWVVxo7agAWyTFlv74SnKmm0vMA07SP0Wl2
dhecnGDKtjg2D7jMXdxgiheb+VM21edxsVlaE36+mkJSXtBD1WhHM82+KqXzjc0V7iYYG7QI74Im
/kBm2jRsRrYNDaVNyZ8OhfKoxir1xccsBlrX2SRTkze3i9+pNVyVPfaFuLb3nSRja7YOPk+rPswN
tiz6UT2ZgWyMYYCOM+9nGejwEXXxYQDM8hDc7mQc8i/zAO/poZJ1ymIIlhGZbyqouLm9cgPbyxFg
Mjcd1BEL3bvIVh3NZlbl0Gc1PGkGf3k5Flge4mMCvnRrZO0Xsl1PISY5eldAsdgZSdn8UTM48Nw8
3JoRXrnJMc5oGA/1AAUdRxuc/7K6lNI9wU1GryPBzW6NOqrY1NCfsIMWI4BCPcZRNmQemDkspxCx
UNr56OQzUpJRw6bsK340Jydvwb3Tc1KJpYDqhFzUWL2iwzDF3yLNlJtwcK4nLd4W87bBe6U723rK
fW08OUpyH6U94qKgKxrBdRvHPQgZjG8wmN8NZ9hYQ/juWPIk9A67fKBGvFjVG5STpcCUdhYO4r4+
8vG5DydgKID8HrXSJliMLaKp1w5tXOlOL9J93yZ+4BjlTW6xayNrJi2ivViTlaeoLwp1BVymqQ+o
SwM9FnLonZ7sW69MRKTM11w1peKLAJ0iJCInaclNDgWgF29MiJsBH9zObgjZscDpSReEnyf49aQo
fJElnY8V7DlwtHmdO31FaDHU6AKN6UXP7wZhEeYwxLcqrp8w7plexsVLCcj3uSbbDlu8Abu+jJKm
48gm4hHJNsOeyyckSQTmkKHHFQYhk+OEXUWicrA1HGm8fstrx928c0lbuNGpqqGVpTR5jK197lt5
7Xb2aTH6eHkTv2nu5DeuOMHq5nZTlO+cLRM5F2qDcuehkVIc2k79mClV3s4xhsSpd3bswi7/y955
LMeNZdH2X94cFfBm8CYJIA2ZzKQVzQRBUiS8NxfA178FVUmiWCoy6vW0Jh3RrU4iDXDvPefsvTY0
BcjdS3A5pQTTtkh4ZlB8bUS+1UBTuwYWjHXdmnu9Jlk8HfyiA3xg5KXYsu7uHUFDbjLY7Iy2RS3J
E52oXBBaj5vq2TLQpUHYzuZqrpJNpXLadZT0Ia1jV4+OaYUAx0AyN2pMroGSOPZwINeuhlXbHXMj
+VpNDcW5Aj5iig9lKB8M2GaMhQ+6ejRhtpK26jWNFJ4McnlLWvWui+L7zupuKqekIUUuHpmho2ld
0X9zOfceplp9iCso3K3EypiHu3my5l3SZw+8wZtoYTxiJg38qKuQuOTSg56Xw20+D+GqrJPTkTxd
ryWCBEnJfCaGCfu+qdxVg0yHLL0QonhMKxskRdtxJzj3mVGSHBrd5kTW/zcZ+suOR337zwX9Jnsp
it9MhXjR93peVf7AbayDE1u4+oyG3kyFVPCN4PvxwmFpwKr3s54H0C3D6v8B2+afvtfzqEFslb/F
f9DLWozM/0K+oZj8pTdNIUM2dLzassnftG1d/5svmqBfSx172zmqeTPxAChzhfxtcVhpUhGpvhER
JPvgLCYs5HP4sQgeK9wZj5aZOPumcFK2i/QphTg7LUN9tQvXk47Sd1VpGTmajTbvilGr/X5wLihT
X5coWpdxOduhupEslSZ+TK1CHkdYbeyC/aWStlKcPRnNSFZhUu7DRFyk6jJp6RocqOYW88VWptxd
aY1wY/KoAKNOG6ZfB5UTUIzDgRLAyNa9PG0nBR1cISlPSa6QPjQYu8a27ird2s2NeGY9PMMflxl+
wGe7dyBQdIGJE8EoXxpk1CkYbBIGOyK+5LImYE1a03wuXHVQEIiXp0NKWSo6GaOTJjV+RWrSTtZs
Pi0SRa8tcTkQUGrPoEtE0pLKlOqNr9ISiHR1g9wlXDepxtbdhJafCOXRTulyo571ap2UH3IH7vMx
eEBtyKm/PBK0zCQsD4x13mJNKORiJxCzURi2nALp43syuo9Vmdvlplp0e9S+uWs6Do366SI30l0L
2mWFi+nrlA/2SmZswT4TQNmm962F0yMOS2QjivLaqdKJMvQ7VGv7BE4sxwYOZgNQCLosvdiXcBnR
GFKdj2a3n9PsJZcKccfveYr+Z87JUobPCaLiPKuTE3BcVwLgFeiZNGk92t11tJfUomcbi9MwXBHB
XEZI6bvUqQ8jyo9d1tp4IYwh2sTEio5QN0kYUTF9nVhpOWygpJU7vheS6nQZqBqwSucKH0ZPAuWk
jLCwS9oBgzERqNUYeuZl/RhuiKsk79QqGnVvZVl/a5emvQVwJ9/919/8Nihfet7/vBxePRaEMq4e
m6fH5jeituXF35dFDFsL7JFFT3esJa79zbIo/2HSqyRnAJ8XCyeT6u9tTuMPpMwGumHTee/l0hYv
lynb2pIVjDfsX7U5/7Yoon9mAkP4o0pasqm9c3JpEZlT3ZTrhyh/mNvDON6/+Vp+MyXXv6nifvbi
WXYd+riMVjSFdZz8o3fj+D5o9Q4EWn/oZ8NX1ep1qnSIQ8ml0XSvHQaXhqfOA4tSe4pU7GDzbolq
93uLg5EpmSXUPW1TWEQqt5i1gP/obfVVyhTIss6+Z+l02y4F0htlR/yrRrrXhq7WjmEOhgb3CaIg
vkQUNXU+rTUMQSjGZGM3Rm3wKgz5TNMIKPcYvFvgf+Lsa60uWlpqUl9vVUBacijdJVAkPSfVn/to
zNedgl1NTyNS5h3xDfJ/tCpLIkeyuXOaUPMVdUGZ67o4T8DErTS1hIPR0EicmoJpf/yQqureUFVk
NPm0F0iRtllRbgmtnb0mqMHCZBsszGcoljUQ4MWDJAsIv/r4mqfSERsHWYX5PK973fZClF5WwolM
JieO6XEqS9ui6k+6Si4JoJkuxtQ+SWaWiXBukCIQEmtZj4GCZg4uzjbEv9yn8WMHMhIODjEzhr2F
THSUZl4OSDYK1PuWvHmOvdu8NvZ6UWPDVYezDBmQmWt4t+qtOdWooHXnSxLP3ZYl8rwJSrIb5+gU
8cB9VZMYNUkJ3CX9usuUdHFYpzQ79Svs5SXKhjHyezveTVlNUEVi0JNKzI1cx5gKl0G+7vgCOQO/
xWJH7YY1Uu6TEQSZow+3eqnRBzIOZmvet918TGOUdTkGqH4BlejDWSSaXTmJXTgmVC0MzHNHbLNB
7CM1uzIJ1lt1SXZLIfMFlsStGfTrssGMPRtraWwe6J6CSeocHE3tfcmHV6d83EjT/DVFsUlyodsE
hqel4x4muo0WLyQreiLRFAQxJjALzZ9pPfAUrJM4uQ8D6uCx7ZK11PfcNvXrVCZbe+mRa9VD38j3
kiRftdZSlASJN4yOKxvZ05wGF2lOrkA0hfs0aVLaqBzidckiL85xa5opLmATwF15/uQoyE8kdkXf
ni3jzB7b4iTGledJFVWBYV4ljn7XV224llREdjjgeXoScSUryanUU7aqtSBXjxAEcFfG5WgjHO0x
8Z1C30/ZBPHPO1lFG4IsLl+0mECR9/uxYX6RScjyYJrYT43TUeFizChXQ0Uqn5fDO2VQMkm4q5N4
iA9jE5v7ujIBnPJVrGjZY5yXiNVJ2B89OJCI4nqJrPQZ0FXRBQgibFomZENisTYxO0aTuurq5pSI
kGOlV+2u6LFsKhqzeUWt2y2Dp8QP435vKiHVXVoVgF2MTTDOxLiOqrLq9azyy66Gu5XH2dECz4yI
TmqRQvKJg6B6NubpSxNoj1ZKTJCmnCU0BlxHQVw4ZdI+SEGHKhkt/tQ0RmSCZX4Fk0biUaWHf9un
xaUYOLapqnnUAUizsri0WTzNUqDmVsWpVVssiNSXiiUuip7TUUWDjTXqJKyDbcZJMgERB9tqnyUS
oYzRmZzJtynKXSA4J8KBeV+M6YOeBMaqjbFw2IF5qnSAewJq4ifYM6o7Q4ZgqFKL/DpVcrEeYg0x
AEpcDTafG9lz6s9x3JzNdnrQ1Gqbop5QarN1M9QRCGcKklwNjyVvp6JSxk5lNrtsGm4W/1iu0mvB
SZt5ANEjH9dH7rDm9JACzBKRwTJQiaVXUkJlb+rh1XI53Wvo3h4JrIU2iK1r2A5JNGwKsnw3LP3R
bVBzBbXProscbyfDdOekn5rkhCzQQ4GGwM2Qj+96khdRwlrXRl3Sd9JBGqJMZHg26UGwNtL62gym
a5tI90WtQWO9L9u1gX56ZYlx3cHA2dADAfQ21SUaazA+zWD0d02c2etF9U9TMxagCPSoo14v+IlF
tdYQpXpTXt6bQ7UrkNqO1uT3LezFyTpJ6+lGjhJ/4JSHETC66TMVXkTtnI7TOOxKKWm8Msiw1/SJ
IL9DvocPSaN/1Ou73mTmhdGYSULEjY4flTDTQLtTlwgFAEojcFbEyQmn/E/UF+/UAktGmg3KCgWb
Ba5KWfxRb2ecap5TL4VJcehon2NN2SEavhBNu/74FKD+/joUYIxuyU/82yGgs2aQGVFxyLPsrDXV
G1alc5sMdJbLZiUmhx9gyrbDWIEMTLetGjH+UFFiF6esVHuDFPgErXUU9JcmaeVahGDe6UAsBi9l
D5pn4hHQZ/tgyiHHtR/nut8cYH77ztGGWAo1I/Nq9ddvyMj7ktCutDgIvJbhdC0nuRuV+48v4lAb
v6lN8RU4FM2ICMkx4DviRv/1KritSclJ++FQhVGLFkzfaSULgxzU7BvDQNEmDXcSEcMXhcM96Mg7
YYsFo1+xUGnMz5J8HUECvOgjzbkq2JXAnhwkWcl4SjCrGoQkrowyPMTgNMbA4DtXeW7MHDr+5Bjz
paFkjynTFoXs280sUB+3iulHWZz6aac9S426Nka0i6xKdLF0R3HLWtskCPfwqgM7nCJzV8/qC17e
x5F+XL/MtEcrO5tIlmUeNklbWRHJmQwtajWPfUR7iSDayCHAR4nDL0Gv5Ne1gCjoKATo5gsDEBX7
lmaqP5RsccoSrJ0Q0kJI9BE7XwHOj4AERcv2gfzYY1SjlGJdvLelDIcp8dNTot9n4KX9oirI/oZ1
olGpzjpHD3LwUs8K8WGPUr5tupwGojKeoGB/TLHoPSMj3MhMIUglic7Ucs5WWluvY63FckembG6a
2cHpFZgi83haW+2fgZD/qBVSfns/LPw4bgdbVjCw/Ho/BJpUQqQ0ugNyokeNsF8PFVd2MKW6hV0d
PRAzCxOMib5iMqCKyelhRT3jW5mJa0qtLaaOs44MGzGrZ0Zp32l6Ea3b3KjXuHIZ1Roq1owY+zgd
W9uXSx1THZu6xwgWNWkjcR5hIZLzssDiVl+FOaxUJWoxXyyKpQ72e1Exa8zn54bwA8SxhjsoJT65
HMCoOnF2nkJP6xTPJPAQ95yUrhph3iW2uROB+hWzLJ0HwTIAM8YsxuvAgekF26UGNsAIizuECeKk
XhnDcJYm0VUd4zuxnI05dXc2LVzkEuRzmnXPWbAe/LYXA6TYliFAInkyiRkeQU+PEveEWznavaJJ
d0o01F7dIY+LLBmdIQ4KaSwRGDQbWU52ODR9lSwGdiNPT+F92ja4WLokQhlatnnQL1l3DXDo4GAL
bsvpURPyc601j4Vl+mRMnUGq89IhPZbRuLcKcy1KnVke7NG4sFzViS9IEE93kz37ZTv5ZhZAuvnG
sQ+pS3gYB8m5EHX3GlsSMRqT7Op9guudwbjZRoR2ADdQzL1J2nCs1fxKCqkZeji7IPcr1LW0GRS0
BYq4LctuFUoIbREhojFYq6l0mrOLRwL0uJLdDxVCfUQOeHsYmSvsmlkg1uimIdznWGXAqnlZKm0S
YZ/OZHVZTgx+V0Gp2MosujO5comCOYi4Mvrz27DoINPV+8I2OPV2mXTMKghNU2ad6CExVuglGFUi
K9CqWHGFnGyjSpxJLVVChphGy/0SaTAOTyRrvoV2QtiHfFybDPD1LTnit5UMay+Xz0yjafwx0PdJ
JFqUEAHmTJVgt9ZQFNpnQbERA4Qbzg1bMOWth4By2wycQqwSV48VDD7qCeWTre13K/ebJ1V7px9U
I2dKnCrtD+TD0TU6Y+zrjiRjB+KYNmcKFcvHW8U7adu3neLt9d6V0yrhfFQXrAxl+aJYX4fxcoFI
hXdC3358oUVk9bc9CT8WbDWkWMQhLzvjGxGdaLuhTvBhHmaFyLwqHttlQndttGG5i0qJew7kclXF
8PNp357ZCxnJTGhRzssAQPB33VaRXuFhXoyFRtyY1n/BzHosZesq4/hG1eN2rbrMCGCL0UzNu/gB
OPWtFGXVZdgz9TCiCDuJ0Z8aNCc5WPiTQtoBR7xNQeTBraM6V9VMvrdmnPRat4s19ZQ4xJ1ROUfC
WU4btm1LSk9TFcQWIluIEi4cqdu8avw4C3aiUlZJNtr4i/LHWZ4MNxPhfT06za26UNPUVgs/+VZ/
7bf8udG//VIXmeibLxW4WxE3gAUO9vgQzU+T/ae/9B+3js/+/ruNQ5YyzshhOh1i+6pKiLPTbj65
LT6+K8x3919u5qmcEll2MNTzmF4qX5McTX+qJv/xUyzfws+e0fdviZwnjqQKmNV3t95otQKVCZ8C
KpvaPXci50xyE4/WJ7+G+us9vjSnDFKC6ZfT/OJoqry70JTEBUbKCtbYSnlmU/Ous3XgSf6wit3b
VbG63ZnusH+6JGnny+g/Zv70xBPdbj9TIatLn+39J37zWH97o2/uC2eIncoJWUYIP/JkV/bHq36T
X0Rrx6fP26yVDd/zGnD3Sl5FvuNVg68fiudPftvfvYu3d+c7kXIWtHDXYJIc7sad6lsrxqnn1uqI
jyHyNreGuze9fOMcovW4La6M7TXqjs24Zd1bzZvSWbUerTPP8UDAbYtNe4xW0YjG9ws+9wNUgI2x
c3blqdg2N/n66uO3voyQ/vYFvn3r707QktrGWSXF3JcrQiPX7Uu1rq4Vr3aBOnmRB29knZ+Um/Pn
vd/vEEmMbnIC5OaEVEaXzcdnFPI1cL98/K4WM/NH78p8tzvEcTk0lsm7inbOKnLnbb4JromYSN0S
rc4qWDXutMLPf6i36gONNP/j6y+37/u7CpnMj+fo3WrDUiPBrJrGgzyXviXE6SyliKOAX398nWVV
+eg671YdOyZgdZgz+BOM8wfxLI9bYT5Nml8jp5eq9cdX+/1P/eNTvS8mJaSPmlEn/SGyUiq/yyq8
+N8u8K7mg0CRmSYD6APoKDWhD+hY3sdX+OSHsZYH8c3jDtncLsgKmg5ldWjxQVfq3dzbn/wqn31P
7xa3VsHiPGD8YMy0EBgwd4+J+799jnc3WF/ObV+0gEfEMLqxecjT0Z3z848v8sndZb1blcwglCaa
c+wGIwmpDvGNWQe6unexMruJUA8DkuqPL/nb38dAS64wZ8Fo9u6SNoL1oIq7/qCjzUrWKQk+qbn5
+Bq//XneXOPdQ5OFiCHAOY4HAzi/JF/k+Sddhc8u8G5JnNN81JKyHg4yizbN6FTLPvmavu2PHz34
7+7jKGboE2Tcx9QGq9pFELJNzygR3JPGjfzw2K/y04+/tXeJJ38/Gyyf+s2jo9D/Uzo1Yo+6ozFc
sKqeQTAgTPhR2c+7YXUOm59/WBk+cs6VfSGtLkm3Ylc/v6/PtROqdjicBFKstsT5bj57e7/dyN8u
ue/vnLgRshLw0CnHZSOXVmQQ6rtCcVfpRvdui9WJvJpOX+UnirPmZjoVK/HJ6oVb9uPV+N3vPkgt
4DAcp4fOAyTnwcBTge+eZt6lczD32qb37oGkrQo6tutmgxTBlT5ZoT97C9a7fU/C0qYXouoO0mm5
QgZLlMxXY6141mn/Mm4rP99bG9IUX+GduuMmPYZe8vLJffL7rffnLvHuPkmJSQASzK3ZrMc1JMJV
vJzqdql7PezG3Q5x72o+oGW6hRLj5etqY50jRfN6P9qBen34ywj0j0dabTkY/+1R+fm4vzea2RJy
Y0rl/lD7+sYEquyN63k972HirJ7DXbBOXXsH2HhV7kfXuvHRL/ITdZt0fRVjWSLf1v/2Df1nTVpG
0D9avN4jg/qXoou76fCYv/zf/wNr+qnMvnZ/FzMtr/s+tcfivpiPFhi4SY2wsGB+mJN0AOIgWLHl
aDo2eJ7wv6b2OskQ+IVgi2sY/MCjsq38JWYi5EGWF17qT0vTvxAz/bo9AX+1l2m9Yyu0Axjev/dM
dv0kyEM3xDlzoBCA2HRZtp/tTt988m9uWIyZsoFpwjFpSC9huO/WdoVs6CRJ2+pcE7jJW0bDLf7R
SFML7TySmxrpTmmO6cVcxqZ9iKLIukPco0JEkY3JhfY4qtClKrcdy11NTwzkhG9qMfMmBS3/rLnT
lJ0HhuRlpbSbWmcr1eVVJ2OlnSLFn2vrcozbbTDVkLfoBxUx7UR4fSeEGRwlO33KpvRRCkDcVNUu
yZI74oVQ4sbRMexa31aznRUx11HG5hVZ8qZioONliI02ca33roSTdcGKbOsBeWhPrgCRfbXWuny8
u9CUd7LDIFFTqhPicF+y1okIU9dXdOlfAkbr9KMqIihlegd126wBXe+DzhKeXTQEaguV7qYlPy2T
Vw1erafoxfWghCeBqt40I8IcNe5uU+g1bjSJ59bUTya9KdZ1Up0V0SiYoVrADOPAcIOyuWriollZ
etn54aSd5SF+367VLjIB7Hse+jsp0WB+WaPPYCFnZtK9kj2HcSJWob3UJRwE/dQSje5XpDitsrRO
tqZM7xzZf+iOSV/4caWCDBpsRsrVfKvkJcYnPE9lL10aQiKiXs2uRe4A27XTe6ludFJ9q50DmO6Q
dUJxIyk9aSW6hLJSM860w33YPXP2WDs9su5cqK4+1oirs+I2mAfdDWobr0ionDR233jdYG2YVD/T
YmI3nEjssPRnu80jz07iVztH+Rrq9kzz1rkOa/NVj4WLOOAlrvH3KC39RJWUSgVuXBnm54PaPilJ
IrvNMoAEfLBjiIGZZ+jWsW0yGNHwM+ttJ3xdkplXFv05weg3Q9i3rpR18LOjZrGdXYVjV3slFY1b
BJqf6TQfB8Rr8yKscuzkSoXsTaQ8amZnuE0JqcA4bb4mifNgKOkSL4QDW4OewigvSs+KnMCJMIkr
l3XlJpzqq0I3KsIqkapkluVFZSS4WceHIcmW3nhNLpTg+7AswKxmgBsf6d2QFC+6Isz10Mg3aZgh
MSaxaJTAnQ0hqFxLeu0k+16yJ+Ke0sjlqER3dwxKZ/Yt4gdUv9OmdFd983ELvWHMXPFtOAAh6msj
FEwPTJrrlZOlN6msOTtjHpNzUxPXda0iH6tecsIq47TKCP2qvipdjaMMf4nfdxhhUkF4QBMnt1CU
vMwMMsT+XwrHHzdTNCX7vERqLkmXTZ84i0gQsYcXwH7yBvrMkjWWXuMAJ24z9B+4MdxQq/DIa2c6
wQfIKDkuWORg82wu2VaHtrTuItt4ieWxXrGsARKCKJTTpx+i6RQl6iOHkFPRxQSH9fchWOllzbls
CsUnbuuyVLSdUKTLabI8Uwq/qCnqEdvAlCmfOiI8x1h9PuXR2dx2a4BILomMX9FZM8O2Ei9FceTn
geSmxGBZbUOYJQadphoOFiT3pobzo82zh8FRYPBklJHYEjYr6Th1zZc8dlI/UNuXlpxNtR5vpfbF
6LkTB9Naa3pi5W4AOj5fOYFAf5r0kyT58jBZX6yQtJS6blQ3CUk9M+yqqw6ppt3lpU6i1kxY5VCE
MAYT1q1VWurVtMqNWdt0U9mAIkZSaWv5l5SZYtOJOyGyL20t3ct5o13IvTGfs+HV6yarH2tV2UWN
9nUM7GM9U3hlTugVOQYUA2mUF9cDZ8Yki9f5nDvXem5PZ2EeXcVh+IRRUHJFilykQeONTrTDvl9g
EdO76L5Q+RVFdE1fJPEcTTrph/auV8oZhxAw5WBBMpA6Q3M/Zu9xnZQ1gExz02v7aj5KnS1dmwlu
q2lyhB82hHzylLe3gdP2nt5Z+Zan2fbqrPN0c0BaoHRig6mkJGujnDaikCOEmqRbhB1mO9wzxlaA
p1wgrufwIi9bPVp05Ruox2hLpYCEWVRbs6lco5K9a5TxKjQacwcu5a5cpF9MX4LDm7PI+Z/b61uq
zFIevNt0oVTYy44LT9hYEHhvqxsT9BEgmro/L22Bk4SYnGuTd20g9KUz/vG1fj1FcExZRNqmojH+
R7MNLODXa7VtSci4aMW5HfhB+qWeGCF/+d8usbyFN8WayOosE30mziseTDKOVtHwoFdX/x8XcdCI
W5zYFPWb+ODNRdoIvGcC7fpca65rTs8SAay7jy/x959lQR39vMS7PsdC7AoR4Ilz3b7K6/WcE6ki
wFg9JtMnV3rX7PjzR3lzpeWdvPkwQKqN3Oz4MDV1m1LgMlVP+hzPgz/kJzOF1McfbHnjv95vCiRs
FaShDD8XTdSvl+vCBB1dpwjEy3fKMiWDLhidTvndt8v8V2solHn/XGvs8uqliR+z39QavO57raFQ
UCzsE+cvcwTP4fdaQzGhFJuKxWLwLS6WV31XCFOgoACWOfzzQguw8I9aQ1P/MOEX22C2qBJoRvwr
hTDDsl/uEbQUEC+Ro+IKJj6Cp+DdOmFFdVOMJH+djVpFUqUCndA6qyygVK8y8lSDoxah3uzuGkbq
eYtkMxUFx+WEFczU08tAxd5kE7+6bZTBmlaaqT6HMl6s0gkeIWBdpUGan08pFKR6NtW1Zigh5125
PStN8zWqbHZctGY8DW28xrUKnLwl+rMzhUW6pGLsZyxGO6nIOo772Hsnd2Ri7iaEfx3gw+E0x7WH
5Tw9dcy48NpKTOvG4DTb1SggMuhSLjArTPQAHyAVTiepEe/tsgOfHoPKSyUHMxS+EJuztQnCLzWm
9ehYEQIHtuGaM56rpEQ51CM7Ym0jA5B16T5j9a7MsTixov5aMdHABTnWNix0lRs6k3RoEvNZFGz0
dWkpGwjEr3OSPOCTa/OVPig5Sgkygio9mW6whwZe3UR0ujTMAFHy0oWzes+xF+kPMIf1YGa1Z7UZ
abMI/6HvOYVzOkiB4ptClk70apT3BtLZTQzoiswAMJSNZV3YSH2vqIR2IpqupYq021Iv9I1slxeW
ic8XOBchP7IOiLqkiptTLIu6jKZ5nFJpr0So/6ypiQwkBSGMAllLT7tgUrpNmEsTx+S5aczmGPHb
DSrYirMJeQlEhFAJ8Ngn/CXHJTePIB3bqQE1YHowdlU3qdcSCsB4pw7pfNIMhXOMhwnNSTnbeAnJ
B9eCo4OtEFtf6rwOipPuVQgLCCLmK2DQyuj9t3p9MzksbY0PVq9i+k1OzfKaHyuX8YdJBAwUvB+J
Mz9WLtJoHBlpvS2jnaOF/nPlsljucIgR66Kx5+DF+rlyGaS20W/4C+X7ry1fv/YAQQ2Swq0t74Gc
Yri92rvNVENIgPjX6phLmNG6LLPYG8ucWvJiUocZ12zsRMFs+no0yBFzhSEVvkF3WfFLTZ0KpAZT
rGWntR3X0xE5DNq9ld2LJWxFGVEfcbzOIo1oMao7ngw9i8ldkoJkUD0pcMqCnAKz18+tvneawrPk
aiDm3TBEi5oKlU37aM0ENc+rziTdGTft+C0+QIGMsUnayjmLajlCt96Yq1oI/aYuiTtD7bWqCShA
8JgmtBZqMZzGE7gLuCvIHbK0vyTqSjzJhWFUO9S14dOgNyM5GHK+ZGSUlLJlcEgk+KSDlETwQRSY
TbbQpgvFUoMdDm9xlhZkWirJ0OFIqF5LAT0G77DaPNoxbqesw1rsRhjUd5GRdNeqqLEiR4XxbM+Z
sxmiTNABAGNYzvEmk3Tt0p7lzB8XCEvWy6OOegkjl9F1kD1MmR6tvExZADeu9UqpyHhrc0XQfiEu
bx66bR3IJGwpFdxCx4nUB22u5vNoJvpilaq9+pRSI572dRvuJlxXd5rRakiHVUABDNW92c77Y9+n
z3ylxY60IuVKaWM5cxMZyJkuoCggVI8OKDBDL5yM+GDEbbtxnKzxk9mxDzPyM9wPpM44E1F4Ef6x
ZxzI2d4QQfulz8t+3TpJATw8VjGUKBlUlKhN15MT0FYZa/OChoC0Zu1rz7VYqzxMweUpXIHhtG3T
E+z5JPjYEuhcYxpfhR5lW7vKw5OxjHXeW2JJZzF4Z8CSLXzGcgJSgi4M+fwEFLoKAZfogrtoxFEz
Is9ygpOskcwvtDVuSzlS96pkV0fefrCWUuiDbanCL2ga+UhcCCw+ItR2YYz+rZS6hHK7mi6jxhbe
0ArSe+J+9Il0CtZt3bbhfyvrn25ahW7pP6+spy/Nb8y0y2t+rKwWZzgTdplpwQH4tnx+X1lBoUM3
JcIS45apYSD7ubKyfH5rCjO1pLKzlr7wdzOtzsoKU0u2DANJzRIp9i/6z9/m0z/LhkU3Q32q0IHG
iAYe6/18x1KqUFaiGX1qa7WrdIhB+dr4aTyr1p2NNdiP4HrFuq4MCJEEFurSSd7aPTAWK1aT+1gF
2nKMgrKvd7gnKzKnUMXLfiUZvXVe0WoT54yPDhURQddQFlTEE6TsrpN2bjm0RMmDlhks4gW5fxVy
T8UPqcexlhTLEq/qc7Tuvt2t9SJa3umBlCf4sjora++xeyW0ZMZsVgE2aL3Zxu1aLcZYOclzMZdX
4czhhi5xkNAug2u5cbQQr60FGWIcOtNrSpFspHSqfQEbfDOkpuKLsZ43cmo2X8hj6MmXciZz9rW2
RwY7qc48Ej4MMoJTcyDhBNUrCcJNNZtn/dRGcJLV0ryKTbMhiN6qQEhgVt4oVZR2VwxtG8c39So7
jqSpqZva4r9PYVvezUJ3CAKpQxxBSJpLawfOSpP9/w4/3w4/xoel2zVddWZGf6/clpd9f0rVJV6G
ngOUYV3lkaB6/vGUan+YKkcOBkXUdj8eUUZEPLKOhZ2A6Mfl9PPzEXX+4H9ny6Gk+yuY9t88ou/m
NzyjcDjw1cu453lOqeF+Le2lIueIUrf5eaFgRjxr1T6gOlhC94yVNi3P1DgOeKMzq3om7/lhLgmP
AiJ0RQAaYl3raRrgu1Z9uG2CnEcZ4nBnG5nX69ZB7kiYk+A3YHVhLEKDGWdZONHQxO21iqoQcnCQ
usMQdW4SlMd26r5KJlg2wxFfuftLPyJJrXdwZYO1OR31RWLvJGcLY6WRS/qwPO8HKKkkxgX8G1XG
V6nsSggzzdMA5gM7ybSRVftJGpV1JDqMPWO4tTjqFXOKeQ4jzcqoxb2wpZsMdrqbpMqVZnR3Ib23
jcNmu1E0zTyGHJ18XUHW3Bspff8pfKTjTkosyvMVfvmLOFaPJRQOwKoqFjlrQRjFF6PKbiwbL3qX
b7DmP7Z6fKqrcFobGGqjrZ5igOP/7WxzubnrtXhXjr0J3yS8K1vzbmH+iZIqUXtuHee5UdtjM8e3
Rjk+p7qde6omzx6shXOJN7tqmFLlIDJWSccoZgZ/DK89vmpj7dBX0mHW6oCTDCkok5ppfGg73yW0
/VccZCO8rvq5ZAjOsCzIK0OKyLQmTCyJzHCTSL2JEDzjmNlD7GjHG0IigGTWzcqxuhO7JEZPdvJj
hd8Dr1Zt75qqUMkXExsbFgf0I2yH1ZTZ0JCjxktkUoTNIWAO1auLM45/tSZ12xASHNjWOov7c1Pu
iefhYC1JTr1p9AKCDHV1mKY71QCYPXbQ3zjMkIcnN7tcMnB9qlKw4UELXEGSLz1ARo0zQ4+ueUqk
5pIooHMRyrswsUbXVJONnpRw/0HjL974dDZvOqL55Dz88v/YO5PluJFs2/7KtTeHDH0zeIOLAKIP
9q0mMJIi0QOOHo6vfwuqyixVVuUzy3lOJZFiE+E4vs/ea3fwdm1VR7VfWIxZA/D7sfESslXLC5At
EcS6OEaOeCaP2FF2Nj0qXi+Ar8VFuBRKExpjfi8V0g0Ga03QV/VX2SnlJq3FxZTedW6SLe3h/vlu
PZ2HeZzC2Z3ra4fkEO+V1g2yOtU3Ue7tgUEO2HHa+a2P6JlROxFBB+rWdVVGcJDYSfpIeqLgFZhS
h6w1ZJPHYeP2Tr+ruh5zy9SK/azp0cao1RPlihezUpagzFIjAN1wyy6UQF7VLIGjl1csiSpfUi6/
SQ2aoykWOURz/ZbPKybLUO9N46jIr1xl06rE7V0NBNmQcxawAwxdsybX6XyBtuVZ45hf7aK+ep13
VqfiSkh5ryNf+VanJKEtsXvKsrlLaPYuzBVgJg9uvRzBixN91GZKj2aqq9zO3LSu/NK79nussKSp
+1u8m5eewrYtIkWw5PPF8HCUgdCiKriadD8bctUfvIROqb7/EmsFZTFP9ATPzlvatN+5oap+V5Mz
0WsWQvPk2qB3ZOZ3luKyETFfOHUbWFcty4XC/ujp7Sa+Q1CEA/nUKe28i7th2CbLeOwjNnuQq+/s
ZH7LUotNqZkzMTddEYq41zadiVWztAMYiBD+kvm+txp431kVFjNSV0OGKKwqq+VNV/OWcO0LNLEs
rOfoqi6oTTaHCIuHEt9HdIPXwrv3ImoZZulu7MoDKCYLYIwAH2Ot2ca9W7y0E/Um0TSeFRWMCEEU
3thW9gzVuPftccq3HKvmJtaT97mqbZKt6XacqiMH+p0063HfsIwPeADcCpNUXQpLe0QK3iUq1aBj
Z5i+Be87cqtjEtkmW63i3CXjLeVWFYQysgwknwhRtFpIuQofO473lp25+6Ua3rualhdPtJGvV3qy
sbNGAaamfDHB8rxI2pSyKuUWpeGdNWLsNwUliiyMlE0xQ8MA5FZdqY23wjkQoN0y2vQuJZylnCkx
09mxUMdHoRNntiUqlQy12m8RvN4HL32uBS+kKaK+oo9BiPArZxnP/WwCdw/fWo23uCf4mY6pfYC8
vvdis8RbYMKar62Cn9L4mEjoQTwTN33mgsq2OihljgV/XpG83FwnD7iT8oqlue0slGUKcjO7SMot
yXcARI/VafKV3H60erlbW1yt2rrJYvE5a3y6zsxebBuk/9RSpmYP1VljBrxyrOXC8x+tHcSIqmkH
SshblAZ9Lc1S65emyIpDtzSPhs4bv6iMZ0Wa1xhcfkxNQaNK9sjDXqVntQOXCJG/S+NrJ20evCXf
GwrthE5CkQqJ18GXJn1algEHBHp4PZqs11sw87rjfIBNU0hlI6KhKixbWbt3WlQ2obWmhiqAAaEQ
5MjHYogOaivfbAxd/D5HfZvn7sNcYb11I+XIyu+tzZyAonsEgkzs6qbm4x1xU+cwtmg1iENS5B8i
m4no9ekrDBNCVo19ow72U23au0gU836Jja9MnRzOWG1ACCS1585E1myHdq7epjEXACQvv0zrfS2V
5BoW7dXuxiuI7zhKBL/YlmLdIIHzGmSOnDa2kr1B2b3k5Hg3Pfi5DU6PUzqyhTf7dicXTCCDYWWb
Qc33WQxmEBMzz7se70ajg4ar6WAPoXP8SGKiYo0L4H5kut7U5TjSuCY3db6sp6r9XLIbouYct0bZ
KA9JOz22HoyGKvU29VSch46IeDy4PfyfuuF2ktz3Nr24EWaDYXUdlKr3aGJDiHF0bIzVmVDC1mMT
yfsJmMV2jpUi0DEyKExOvCHxNkyYHARmh5mQTby6H1RsEI1NOAat4nMSI7Q6+8tWlQfFwDnhrB6K
3Mu/nNVVoRf6x4jNwuNJDjfO+ugwYKBbt0GFJSOqjCrwVpfGbOfPcVl2G1AA+sbFypEp5TaO3lUM
HgwGpg+4pva1ITsKq9XWZHN2paf1IVodIi5WkZgyC2qcsgeNviZfYCdxSs/2dQwmJnC+mZkLpWRB
iRd1FTarH0WS0kZix6PSrG4Vd/Wt1BhYXIwsritrup/xBvC++7JXtwuvGeSJ3NiqGGHEyFs3abXb
YvXI8Fq4GHbah5XF/YiE7b29OmoIJ1O+urpsWGtc5tV302LA0dz+I1sdORrWnGb16EAaeFxgxc6y
eNBXF8+Enad21Hes7qteVgFOWz0/FMidBSaganUDqbIDIL86hHo7+/SYjZORLneBiWgpIR+uriIq
ew86NqM0g8GE80isFqSOKc/JOfoo0UZa8yZnx12WLxLvEjzeLwSlhjN4fjVKZr7V6pTieSI4dyAH
FyR59Rbhicr64drEI1WuZqkY1xTkOZ6URrMH0XE346uaLXLMEU6rGceVML2DhwMLCugNyciNXK1Z
0kjCBK9W2o7nFtV/wLNSWCp1gl0GEq756fEqqsV+kT+dX41ijfltYfVihJpobwZLKH+35v1DJtJR
pP9cJrr6HN9+vP3nFXT9qN+voKux0ICDQGsObsU1Kfz7FVT7hu7NcGau5DWH+rvfl4feN3Z5hM1t
1nogiVZN/zehCFyRapH4owYRZyFX179wCWUh+YfdoUVykHpVqIu2yn/4RyN9xIvHsKJUXqfVjSGd
fqNHEixP7z3Oiz7xdqEh0tOrM7rxHa6ldypYFEajBapxwm1GQhf2nd47drl3zQq73syK/e7hpyoG
7wm4xSPU4a+BK1GjMJOnnvNaiFIwYtr6hoJerojlGYDQtBmj0eM6YFxNapNsCls1fUpinuzYXojf
2mwXowZUR8SNVrdeYLs8xXJ5VxiK/jGxN8NjnvY3rWcSrUP2UT2cAPn8WNczFQNjD9iSfQIA95Pm
ZgyD1bgt55rveQky1+D5MRwGlzgXhTew56ptlSjPgEo3FEP4cF6vCjfeLiskm9Y37BhVhwVyovAi
pcvYLdx11wgCSPtB7fl1l0OjjdlJ3C8cS+kYGRtNdBz9DE1WZmBtQS+igYsYt6dYr+WS0yXNNjGc
Ub2P0D+gwE5aFyhztKMAJgvcaQwK07MCD+OYO3kL0jvt1hKK8tJaT3g9mxzATGvee84Q96TgYQ+v
LJiuWx61aVroQnEBX0ON6aGNFhltbFezjDNC90lcmAGLAPacDFGuDTm54+q+PvSn0YafwRiYxWhr
qjlunIW+lcjSHk2HZ1jpmJ8isy6FSvB+pOyHdk+gBR0vHEgQj31VfU+LT/g7x4biIt8yuwPFKKe5
dTIG0Yq+ElUJk1ysRJbx4qmwYXNpnGhffZYmfD/BuVta8q2huPUR4v1dXJp3GlV2k5gOBP13c5ZF
+9SKDF9Joz15+3oTN8ZJDrnme4pwDlKRKO6l+6SMrevbjbKdPH2npsgqa0u5G02HxeMhp9bCxi7E
g3VU+s3YiF2aYrBkXX5T6dHWGMAdsDzw23Z4WoriubD0L2iujN5Z88I69lxF+SOwode4bG+gYdLR
3ru02C8vXcsBT+Ptnn27synATVdzfywHh1dztryMAP0qrXnrZRri8z3R6g5vQbwCjO+DyJgglaqA
P4t2Bfi3jwm6B89pkDuqQ24WfLdY8JL1zmtD5Rvqi31phXO3JCyJjehZ41K5owh2Uw7DdxjRdzpF
7Q5dMoZpXc9CZU6zF/2cuSPljnYFPW+80o14m1c/clbvwwj4qFuZ1ukExBo0H5O+vEltK3BVCO/w
9xjknY5sFBuzyNbfSuCFmKHyfqNCIQdWofvjKB/sBWlorgsHTqLzQBcn44L6urjJpfDmWwPXmQa5
3/ca7wetB/vSc3kZOc0B5DcvwOihgJAVovd+EsURvKG0B17GL05Pp5UWwctP7dvOM354i2QjpEw3
dQRuv+w0nKyxjnczghBT2IlHprnV8MjNBXYG7y6nYRFkk2gO0ZioIYxaWjFt732O+re8aG4iDaJG
5FhR0E30DZWy8cI2s06CG/LNYrhgpuqkuo3IYd+LSgOMbuhoJYC56/psLPG7VmnHoRjkvow8Jexz
HckMClQnqA9Al6m2dCt+wsNfwoH2QXoeMW5ScOVh/cXQzF4X56LFRByZ7XnRnBObT9D4eP+S/q6l
1ovxyjjYi3lFnuNUl3yXad4EVEuovrUoZiBjpu2kRJlwzL83Q//cDCEG//kj//yWf/7nA3/NXf3+
wNe/GZTasZV14enw7P7lgW98Y1OkY9Vn6421hr/6zS3EA5+HOeqAw1+qPxXp3x747jeblTtrHEez
DXjRf6nt3PhDPgvZ2bEtyEXs/fl+VQiG/y4745PhltRU1nU+FvFJicsmup/nvEIy0dN8NzGscOmg
4w1eQBCnRXEwW3zcKzhrn1OSeiiljt9tUnHdZIWrbudVxjGdtaEbCrhrMUFPWdr6ORA4xePx8POh
MRcqPJKYmxZtF97i8laG2zFKKldQWRbgoEl8qubplFXFVnFHSHJ6NtxRA4fNZLa/F7NX0VWdgJqD
ul2o9X7Bfzzp8V2jVUOg2jzIOx2zdFW2+37RrtDAPmlguU0N93pBG8XOeZ/ClVLq7kWJXXGqovrU
JDTmJWZ6ABX4UlAp6yrJfalbj3Hqzj5mK9hVuSHYR8ev7IMPhivCTI1eKQt4A+VDGefYkKnux4mS
PE4j8DpwEJCnWo5hrgPeqaG23M9bHZhqcdUAyIZIHl+a0nxrk/66X6qvfgUzeH29WWrUChmJY+nk
zqas+73luYGKz9DTdNiqSxWHuU4SQhhaYDjyuETKi9smt3Iy6R/sM66rFbRqp1tCTyYo92uRgxZx
L5zqPbrxa84+jk03vCGjXbaxLCiuE8lHR7f5RgrNCipN7mwQRIQfjV3p6leVMPVg6gsS2m37JKLE
DI32a7Clurdz2wsxCmG+suyALemXMiODEYm5boqBdvoUe/ToNA9u69IiA0kmt1quft2eBnZ6csd6
k/XC2VhxxaiixvK7rJajG5s/HPwBK1vN22A9fjVbcaTJ5vusLrcNDmMMRK+ToNyg7ZMvpzThkEy5
F4ouuyoduc+7mWZ2UyN6Okyfs8tNH4GDe6eIt5k+fEgEAB+9euuM+YdkiVpDwKcPQUeweR9Z15xx
gPy8XoJp7cndFMG0wlv5/ml1katqHVkpdNcRTDERfNeh36XkNAhU3cFN30R8cL7+xBeIsn4aUaRF
/Gnr0bEq/SiHXVeJJNnLUb1eeDPcSipud7niTqh/nYU0qh8NIzM2QPB9o+FjFoqKrxnB0IlmtQ4N
Xm0sHRpEtFyTUGeNdD4QLWBOber06LrzwobXmkLKCHr0NFQ9dRy30N8+XDW+pmQCZ7SuXQx6iWHH
eLeAl+OgK7KrxhZQO7VnjDTyvtWU/LXSMnD4TYkvAteWFrUidKmH91vbyOG+QxYw+96fK+BPBrYY
3yV6tSt1qJVORS2gNoHMKk2Tzj7wA44iL7nOfOkRihiwy4GmIy2gp917OzAC0NcDhKQ90AFs+IAu
j4oLOESLma5rkWkrlr/9rrPBRnLGfU1FPDNbythTJQ6dDTQSb0FwUffTL5B/NP0lK8to63X826md
3B2qGadSDjuqLplHOiVT2Q43KCT6+vuNGAboDT+xc9gV03SV8o7aTPSFZqyZkonvWlXISMb1SZMw
fkrIGrUHyz1bWkwlHuiSZMUDugO/IcLcAoMJNVNyW1ZwIqwUsl5GgQulNyc3RkOZhLpLrfwV1P9u
ULp7Zq+R1rmWiYSiwUrLL93QskoaymRDTQY6nNjbQ/cVGxFzPA+PQCA78e9IKwGRLB/KLivOKPBM
rCuY00y9sKwhicWNuscE9CztikJNcRoi93OudY2ISHns8wl9Rpt3Dp0tfy+mfy6mV/jHn08IN8Xb
x2f7nzPC+lG/zwirKKDDOLcpNFyf97/MCGQUsdyZBvOBxVOfx/O/ZgRwK8bazetZcHw1PupfM4Kj
aRa4YXiUrK8xG/8VVeAPeLN1RoC5QjQckQG7vrnOML+a3Hkq8742nQmY7Zijx+bP9SjvnHqkc8yL
r0utyT6op6hYIBkPRk8zzWgo0b3rTF9UMG3pbTP9xYBvFgMgpzXb9UuHLR1knfc2zrXNXDitPw7V
nekVMVf1OgINFV3csqiCRDjvbGTv7XF5Tsre3uhFj+Qs0DvrpNxj5D0aAgtu6SRMHF61XQr9nv+L
pxTSdDsNCKiDBBzkDtkG8+AFkvejaYP8Zb37I+twlLVUDprzdcKjCGsvpV2jvNUTVd2acDLIcYyr
bluHLntE39EJeZWQR7lJAPttNkYzZAfUHtYGFCZoCbt3Ht4dfUO9Gw5SGKGRRzs7/8l8K719JMwH
ts2MOl4wGEY4UFbi00SeEryTh0Wj2KWvEnas6vJkeT9ooYffO19w2B2dsX8ZVEraRIYbj3OeEneJ
AmKP8PmsWX6Oan0YNWfrGEQ3PDV5ijXUQ7bnm8ItSFxxmMTpss905xo8+9U61cV1+1Qr1vswyJNT
5xhl4ARTmtt02mGI8ltd0vLEA/3O5ScUpU7sK3W7nYriqjW9OztV3/N5UXlee1ykVJC3njM9lrr5
mrlA7wVLl36szK0YtI6iTudEC/mDsi7V7EV9SgnP+VOVnRYjehQz9m/uLXGbg6ahb9NUku/zqDwI
YzjPyXzXe/ZWtZWXQck+CgZJ3wLjtmlF7PhLUbshWNAvhw2nOtBSg6/pwq/pPLHsaMDCReaXJuAy
6nw707BshVN3aPvpfZ0Qr1y3SWpMrDHDMdpW9XcD5r5BMfqmkvObOUy8vjTqkAhz5igb9Vkbix8R
r0ivNcgq6vWOcsAjYxBu+v7HqJBe0xNjZW/t4hQrADLJDSgsliH5OAc8ZOneUWQWKAkUEckUyeI+
f8p6fkgLMhC9Qjz5zVK/620ReqKkUKvERsQqmZV3PMVX+lA/zd1r0RwM3nOvoLiAS3KwJ3Ge+ktv
PtaNXAfB1jtEOZ51dsTzzhxxlKgDq8eh0WAqDAkXREV8WdnUe+dJa3our0mUybBH0V8ex5+qkTVS
TEQGK8rNe5KVaDBKbDyl7O0xYgz3FMUSQ0SHmglIBt6qTLkI5Yw+O/bciFYkdYJ+aotjKkwnLEdM
7mIyXuvRykJ6PyEaJ7ykq6m3wQ9RrEe140ZJaYlzvfneFWhkdZJcz8nyQ0dTS5vYDVJUNhW1bQCy
HC70IIaV7SZBjiZHNvNqNk02FOlmUd3nFO2O3GHEYMZ6qgc6hrrXUvxYoPZhcdjSedRvFnRA1pNg
XFEGzaSKrwq0wtzE5SUNbcfC86rLUHJQFT38AC18xk0cTe9EgZ/qmkSf6vDYRZHMCgPhrIH2bU/p
k5WwUEBKSzauoVHDjaRZreJmnhTs42mjROndzCl9EU1vvYpVEtUbJWyN/EuilYrMeRJNyjbafKcd
hm6r0rm2UVftoVaBBCdMWQiDPvtUZW1mflfn7A4G65lfHjJttgANz51HFmAQowuj34AATEJWY4G9
qgGIwHAeEAjqnjeT5K3nIB10iU4ZA7MH885dhrgwIDJgpDlFQ3/OV/UBu1TvFxNrkmgsmUnTkuWs
Q+rDBHlNMq3/VLAabmuvgYfI4tcXQr2qVsWD7SSNlIggSxy9KbI8J4gjyqqSaLOk0Q3dRIp5poxh
2rMsJsgs6VJy4uZjokHdV1qiH8gajwSDT4kQH+mCQh3rasmCE+B8pVPYTitcJPhtFE7EsJTTAR65
HBvTwSlxbUT2QISWp4PoPzwdJGtXFrzWuhKXuF8Aj2+PrapJlBR2UqFpe922i/rO+66XXe/8gxv6
d8pqHUX+fCI6v3Xd53/z0/JRv01EtDB46wrC0A2dy8e/OfWw5K1/zMqDeNOvflrMeogsa0mtCvGB
QYo55beJyPtGmYPNZ0Q6gbDF3uUvTER4Av+4J7E0vjDLWhc5qknnzR8mosGbFVHb07WcjM4JkzHK
CCw79EvFMkVR16NTv+SUC0hwwPmTNmiwbLEBp/1BLCAY59Fe8nNHLnYJs1nvlxBidVWDxakM2/qY
yUqxB8SmsYSYJbj0kSrYz6DRvS9PLbX+XnYdO8w+dUxe1HJZvKAQ9bTq98pqWW3sWGdP2+YTz8IF
NjH2hQE3T1jqrDND09EonVmrwvC259qOpTr+knaMTeux0JTEZoRoD9h+uYJVttnvhTLK/WzIIfua
DHfexhkJgTCOM5KVhufx4KGG8Mj6pXhP6asJvJi0ti+FHEOlIA8xltgI2ANRVlryfBuJZLyPKwB2
WUoCz6rEjmA1sbmzZPJlT4rpl5X7hfbDSV4CTnUEf0e/OYfAONBV5dTTKYlponPXa2aclrpPnIyC
9Vap3lUHt4NOeQKlsGSSOO4V3CFrSk2Tqbp3WxNlJqKESnNX6/9Sx0fRKsWNKYsEm5Lm7VxRfeYO
+HmjMGBpJqO5w46WhmpX2QhZDrxdayhuchU7AA8HcoX4dMqmmUJXqdG0XOMzoTprb7U5L4uRzVgZ
m1T91swqjDDvIo/ivb0Uwwa9AWNP2345E5hMoSMaOSVSWDC1MRSZXmevXJfd0bPULNCVJLvwNTPG
1XZ9zKdxkw4ZpjCHAdtyJnnreZG1m7y6hLHL0506YuoVW9Nl5oGnWi0tX6ZrvBRVjjLdZDEbDIxY
mGOAoDuF5LE5Nv5AjHodaJpbuAeEx+Kpv3VYL/uL1BqYHRImAaGEYruo3hx2I8UdnTmLcNacgQO1
wysxV/leK1ry2VFW7v++SP68SBr/3xACHTb/439icv4vIa/1I387OskbrDXYZMR1Al0/D8FfNsw2
xjod2/J6uv4a8rK/rQtkIgprEbfhIGD/dnISaeUCyR/ZGpHS9Sj8CycntM4/npzQpde8g0XLDOtq
b/37XwLTWOwt/Aeugq+qzDYFFxbein5V2HQ6a0QjczQ7pTONDYuKW5KrCGsptRdTQ6m2pAebZSUF
WTQ+CjIIG2T12tcnSdyycaeAHND7VM5PdTZ/F2pzkYNxWBzbPYuScBBodT8SxmPstbtSK7Mg7ou7
+SfvuDE+bC1FnqRKYQW0e6pC4Z4Lpp66m2d1dr7mtcMwmwRyMJIrxydNuUxZg8K2pvSaF3MQQ5Bq
IqD0ZdpiKiNgSoioavLBh82zm9YORROrot8N5TH5WbBorV2LC9ZAJYBW810UaxVj9rOWkWNo7Wis
u75+GOD6CtbJmhkHHidyXU/eVmikD8ZO0lerDtzXoDeOWC/9XMluhkziaqkKRGO3wDGV/egd5zNS
SSdFKeqy0V8V46MOk4PJHRPT5A0crLK+d2baXrRS/54VuFsB6+qhnLVxgy/yZEddd2zU6r3RE8oR
qiIB6c0NjGPVLk39tskxBCO9WcEk8weVPpPcGaTfzcxgLItfKpypPAXqa7HM9ZluSrlRHC+sHJwC
MQUNRX3VaTRtt8m28JzjbEUvJBa5H+SGPNR2th0qUz3Q94oixveNqkaaN7JrmikLvDB8Pc9uDD9k
5JIaCn58vqvB/Igmo7yOXPWBKzA7fgFVA4TSycRyw7JyatKnvFP0IgRubdshrsTLostbtcMzpNrQ
WOg3ccNWqPcxqgBOKSzdrXHdxB51M/q+6exbAl+HqFh2+TjsE3XpgrGPH3q3vAY0s9Nnfa1oA2FD
R243CT/JLBIuZfZMhu2BGNtumtynUlm4p7fdfh7iB/D353ZK79tyeMEXtIeUQ0ljkYiN3aDfLVSC
YFa2tgzl+pZOi7MNXP3Er5xHzZB94tzzx5avTZGxFWKktNjkRP68OLQUWd/1tsSuoHIhGooLc/gd
lHlxkFYfnw2Fhp9heq+ULiy7h3aA080O9jZOskB0Iwx54r229qR62YQ5OtsR696nMoOsZBiXtMu/
lwN1BJQHb0kFs/nApI3MnhKetBdeodObF2l1qJZTsNgLzo7xOuGKpuvTqe4UWC4zvanWuyFUGyh8
dr/EyfWkmc9NS/mPpT0VjaqFqi63TUWzdJorV5Hq7bKyuhoQW/zEq97HiI26MVG5GeNbMcbiVBT8
M8074eHusVOWB9TW89hXJ/7lEs6zYeCwsHo/d6dC3+Imk0gThDHuEpVcFt0O8Wu2+oOtDDXJUr+4
Ku7zdHztvAnzwBhKly/BcL/3bnWh214h79cH2DE2fW/gpRcv0oGlrpeYzalBPbv6cOdqDRDsmWV+
2xov6dAepq7FwzrSDOya9HTHB8cxbvXKSzdyGS8WwY7NbFW7qGrdg4eVnM4A2ufy50zPz0TzH51K
qD6NgHd9Yga6ICJQNSemE6BVJjwqfhdMKB9muZpy2ks66tdzUQ6HWCKRUe+zL/QGnVu/40VyrAf0
gqTtr7sI7j7mVF5V40upNwE2gmI7dirclOmkeNpJMVSurpNyMKW5V9s1pdgcymXaTyNSAAMuhSi7
vlhu+zEHPFQ2COMt/b68ZN0SNaUrHiO1+p5P6bXZWIe+NT87E8hSbR80I3kau/TecrsHmOcFludo
O1rJgbDae66Kg1bS5L6wfwQYc5Z9dawWnXeYNl0S2pVTarjmwrhHT2RhIbEL1Y26yWwVESTdVkJc
U856Sh336+/Z5B8iNzecP7/SXVObEP+XRfhqb/ttLtEcOHyGzmdz3H9y+H6bSzT3G14oi1o927Us
btX/ErmNb9BcV0gf5Roa+x3+6rfBxKBv1F6vgHxay8FP91cGExg6fxhMHBaxfH5mJm8dTdw/iNyN
zeVgctTo0npaEhpLkbNvHLzopMyNeqqcjpuEosqBAqfkmEbyFRsx7FIn+zBGSwuUyZqcvZ0UpGoa
g4YKVTSMxLSIxRuCgPVT3I62ZN5XO3z0uEx8bjO2jmpMJ4VZROknKeOIvWNlrfsctqEViK0KmxAM
jTRrwr7o9JUtbo5bBE3PPkpH8Xwv5xFLuSRmuVQAxc5IUPoz9wnFjUls5+i/gOlGP9Hx0rjYRe31
kqMYmbctRqxcFH9I3u3xsRjgXyz1qaNkb1mmW81Y6PRBrzaUs0m3NNUIhzmNlo1lUw21aIq1qbtx
CHQoTFAv6H8Tyk2GhHMnIvfUiwRPV4wbD2yudq46iFa6MuWhtLkot9zkiJ4O13PfXSs5Ptwp5hoi
TYYqhpswiYEY4NDpFUEERrZfudHfp4V6D3ulpLqk6KsbpcmXi2Hm27IR21jYyQsbiI3Tu5uIcrzL
aBaxb9RshDuIiwjRMXUh9L15A6Y5o7xXbGvaCpdtoUMPTtC25a5q+HZFYfvcx+nkYm4MdK1Krsd4
wlXGuMmauNv2s1Lf2ahFnr0WbEhqajxqt4SOwzdVLtpiQPeg7VAOwnzsSMDj5El92pJQoSjr4VJf
buZh4TkuHPFqRcNagKZ4aAIVLTCbjvKs3S9vxf/CqGJ2/5UZ9LM0CjaVDVsGucL9I9Q8U5NJpScM
rzdtPlujmPS3RPJzYkyr/ll38bekpXFP+fPz71x3//O/nIDFZ8eB95Neevjxf//PPx1EfOgvhyB7
vNXhS0WVoa7+2l8OQQ8uh2U6P33Bq8f3t02f+Y1AKGcj6VB8Oqvl5/dDUP/GUk5D8sJ06rgWyttf
uJ39+ytl9RThP15NSo5D0gYf8L/fzTLXYTleedkVPrvF4nKQ7Mzm+ZcfzH95Neou38gvr8d//C+w
iaC08uDmSOdn8OsNsIkwEVmLlV31dZYWQe2qvAw9So25eel5mBkMQzVOjLOznh/DepIUS3QaMcvc
qSK5LVJ3p1tJep5UFafPehJpLtFWOkZpYuCYmvTyMIwJcw7v50E7qxxnndQvDcfbzPBO+v2oZhyc
5XoCZuSZts56KkYDVUYpB6VGLAwgI2dn1udkc4rhK13PVdQfjtj253Eb8fHzegJzQYrs46QsdAVM
sxP0SkdnokdjCm9zFL28ryAu6eZTRKvbziksAzFZoTUMf/QuVfOE3q6hEUXIAofFaq3By3NzCqJj
T0QZgxBd8vggKEuTnWQxPyApzaw7Er83hOE+LXpjBwVthbtWWWxrp9UTbMGN0BBEG9z9ZS8jX50t
5dptdOXC5xfBanbNV+BirVQ7F29AYA84aGB1FEHruOneKMz8OIDCcG/4/zrjuyVjpzvpsh5rJE6D
0GFrzTeJtu4uYumdvNZ2jkA541fOaPOZuRHCQCEB/PTVYBIrxOyDX9ualr2LWmoTCek83NhsY2zy
9aFCzxWT64zXe6BTqInphRl1a6S3ayBSyc8cT+3SvXXYwmZJz7ycXR2HaHpQoGOGMBlSP6Yl9A7C
6jFTZRF6tebdgQfR6AvFp+1KsqO1KMG25GYw1hzMTfrslhYpvaUcA7tJl7DtKx3bGC6UuZjTo73Q
k+hgcNnRk6RtKnJ/7EdG5kzZdDvbGPeTWeEnnfXullY1DfWvvKRVcRnbjv6KNr01a+vgJgP7R7vY
12mVB7Gh3nB3uO/xOD9CiHS/wNLiZMsDe5rtrzodAqvsgjxqtAdVGbax3VP8WedYw8tt7uIvmfHZ
dLb40XU9clH7KTP51CAhtMZ49Ci85QABx7XszFm9SHcMDK/fM3ydF3JHDCHvqjVgOFO2xaShDdLk
N8gPCq/RFD8iddCCyS64YToxX4Q1vlp2+l4sthmS6uqOeI3YAE/LWS/1gxHrFxvVA9vvq+DX1/UG
DhTXCaPR3sa6u2dZ/TpHXRiXke43auMbUUwSt6vUQ2ZR061JRh3HueF7vLMGQFxzusQ4y6geNUc1
vST/j70zWY4bybbtv9w50tA3gzsJANEHI4IUSVETGMUGPeDom69/C8qbVRJTJVm+cU0qy5JJIhrA
3c85e6+tmynYGvXaZkVzGiqCq9SRm7lVNlk1EssR0Le08+ng8BDJdDNU0vZG2z7aQjvqY/koza2b
GtZdp4bXohJH+D1uTw5x3vXXyEHXpgpfDZKYTvZImYBMnKwqosPqEuV4Ld+kUvqlTJUvIs331LeH
MiOdt1Ou86B4mQoTl3hEQ8erllXTYbYs+uQ0cMk6falIdesWhX6NhioaMdrOAxbteSJ2ryj2rV2+
5lNgkXFUZOhyEToYo5YyaRQbovyk23mSqvWvV96fkOHQcMjqN+I1HDX++ePKG00KI20zi2/KCotB
nzkTCNIp9fK8z45trg2e1QfrEF0FHe35TRFVc62qVP5kzzZGi3G87erkKI+BlzoWXbF2U0XmO8V4
6AkBbzdMUIGjBVyXM/c0Z1q3DIzGJWh3ZlwJZcmy221fll9ra+7cOGkeVGh1PtxPHBEyEN6scIfK
bcadIlK0dESEKUm9UVFgZMzYm9x6nbL8DvzzHm3CYW6yfdWRmC7Ko83heNMOU+k1U7xVx8hwmz52
zUAq15GebEL2Ja+Rm1t96rC+ReZejhyea1ghoKAVhNX1eE8prHOuQ6yoTupZp4jE1cehfYzTUy8A
HDTJLh2MjQGn1osZvgcFWoXOrmO66uTzIo83QnHMQno9VqGeY+rkrMs5Q6sQoUU5s681a5yK5zTJ
boF8Ipgr+swzC4mEV0r4oK4vmHd7CPzIW+s6uaeyBg83xs+ObGGH5GYauUFt5JppWr2mlbxRBIAI
XXnCDeflmumajr4dWIe0psR9Yh3lSiZU25FeA+IPOacu1lbkI6gClJ0klrWsPcaW+VmVs7UsM/q0
EfpNOefZpJlSWFvhmb6R4hURGhdd4CNW86R7oOUzHBjE16eMKcPu17fq32oxharOIk5RtR28UB+b
xMlcD7C18vgGQ5KnJfua/MNfX4Ej03eHEP4kDW2IEcRIAVyktKSB/v0hRDMBIdpOyKDfTGjynOMu
5ox/Ww8Jd0JGNkq1dhL/19fktP2bq35gfHQibYWuSdJJnghkwiG2mvg/7IqfmbxRh2E3xFBtkGqt
YXYoIHKMdPWygkhQGaemW9Tz51KyjnGryy7eUDqlg/LVjnTLy+Xknq7KgLUXJU+mP5lBOmK50MyO
u6ko/W62Ct8WErntAh4wHuNp142W9rUsknaN5Frz4zh+ybhX/Uo2I48VePJa6gm375y7Tl9anFJ6
j85S3eUhUHkgIUgYt2xKn5q6XpvN0KxUI9lqciQhi+aEkg1FgXe3k90qN1E8DgbjrXi8VaMCsiL1
WqWFeKAcCNBN/141g7pqRLyrdWmLiPnTOCePupzujbZE3ptyWIsDDTZIC9vE7IxdOicHdMxeMQWq
p2UyqOkgZZWVH3uZfluc5ISyj5uiJpQ0mLmDZdJRQwJhmXuWSW6vxJzYXp0FJ0G6cmhYW6WkU0nl
fBeZRDyOQvrUtWBQNK2VXcQGG0nE9JK68tkMq1Mt59eKcq5ux5bO0743eonRpra1kMJ6QlHuiyna
jsE4en3d3QhMbF4ijB0ztze7kvGSLDHThr4JhX60aAf+5nb73T2+HMS/G7UMdGF6FbzEKTkWFxAv
a5p8D8OG1OAtjUi2HvcFaxaS2lPxZfhN7su3yNN/I6f+esBoqkBlUEFbLS/uu4tDQ7KLFMPxSXjG
qjiqrlh3zDAO0qO1ln35/iy5x8feTxD9P/M/2c10lFf7eB3caHiQf/Nqfixs/nwxGmpIAywrZZSx
PJffvZhJHlBkK0l0E8kXQaxOLD/W/Z9jyf+YGPLjmvX3a3zoH82066UoyiI217ew3jrT9ddf50/f
A4M7i/aZBgb6w7cJHWhGMl6xeUuXyuF5MDhz/rlC/bd8X77x/1y+f3qLnvPnv1fuy2/9VbmryE7o
MdKdXEQnPypS8PEgLVHZsZitajp3xv9V7sSIwH1jf2GPoWVFyfvvyh1FirOYbWk30s3H8vuPKvel
H/HdhrbgoxAPK8u1KN1xCH24PRDVanLGyzj3yCwaL9GYcxryNikKsO1ZCE1Np3eHjAPVVrcbBySx
Za4y8eqdfWukpit4lNF1EMMuldWmS1B1FQrwSsy2ftKJF47eioK2sMOFytS1kzxN6h4aMuJvpzwZ
NmZtBsdIn8xdQhVsVqpGc7SvTwyCu5UB7IRZlfK1DZp3GSnZVgzFTa0mDF3JHE79eOxuMVNcrT4x
l0WVPIF0wEORFYxdbKT4mUOqRtiBAZ6IXlwRbAlyImXQ2klbJcGDmywSE7uLX5VCHTuvWcSObZH0
W3NBKYViZuSlEfqaBoVyDtQEB2JX8O/YdLeWAg9UcPk5zjh3WTKiOiemR4eOf1VrdgX9fjghKTsn
ZbQfC3Xb1gwwqBafW9z6BzOEHFm2vUHMbXJbcuZNzRKgL65lrBHMqvJq2swRbcG6q31i5iO3jszA
l8Fdibm5c+p6K5iF7YxqvtRDOnma6TxqlfVS1uUNfldrVSsR0APjYrTBp7BfTFVD7fXwdGuh7+TO
ORlsv3RjJdNVCmJTCB//nAzZ3izipzFpG3dypPcxtEnUaJ11nPVfjMJ5EwW2StIzYjcpGKEVBMLC
EGEF1qIwOsY0xFdp1cRf1AKcw5Q8pDK6pCEnDTErjNGXbMD+pE4ziWmaR7NvnmxzdEsEsX4axgBN
whjkVFZxWnTo1MoZfhbbxF0ij59KvvosU3vNjXsZ6sPMnNnMMCOFencRDUMo2RoSv567F120n/so
fUV+q68DTXkVQUpbfIzafUFlGWAMWYeF1a/NEe7UDFiUy+MH7mS6AjKDvnoVK5XhcfbaSfTKN6GN
9kCzSx6E0n6fEpMM6YbB40AjCjGMryQNKBmzeR8KQZqBPJFoYSM+FEWarVEdQsEIMLDADXGrmGcE
PFO26sto9gJAa1rWaqth6jc4Uhwvssez1gdb1Sgu0ViczdTeSVK87jhF5V4wnBz+ZqO3d6IaWtec
rEuam48WIC9MeMijtWTygoTULaaxS4xKU7SfyTmXPeIAyBFPBLpgy6Fl5mD0bpNiXabipKrdBtjV
fRN2u7QKKe4QESsqkcDqdFGzfoummaToYakyxvGcZypWKzl7ihpoqqbgeCUP1i6prKPqAKRqBVhY
rcWnP6mAVFJUU4ByvDBSCJYIlXjXJfFR7eKjkounDIQqrvSmW5lKgDPceOzq5qzmqb6JUrjPY6KY
Ltgaw6sL7M40+xmsdECo9RzPrzmPLtLQ28EMHueA11eJDlV0rLH08HthnpFR2mbIP9JdMNdvVaHp
vjpn9KEcdSuHFFnRRJfO4WN1+zZ6VAPt2g4a04C4m/w+aXRiv/FuUTu9Q+Q76HF8jEFn0fJBcJEV
lSfn8dNsap8CSK9uHZCTXhGTjYlLuaVmeCIuDgGWVlxVCS+AMtvvptNt2hnFSFWQzaA2/bWOOqa1
6qc+ak5yL8FHF/Y+riPc8lZ+zSpaHVYs7aMhu4+NFgJ5O+7NySaxZhFhjarhJkQxwJdiZJLRyfBm
OTrNxSCt0IyMnlRn74RZfKoE481JgYGjxRHxK1HyWgvjHJbAnGR7mD1EQqqLgk8+DKE0b1tbrK1F
7DVX4Dip4HwEz0CKnfBuJOqpU6UtDNyD4+T9Whf1nhYCPgklCt2qyqeNNpgdLIbSWAf59Dmv5XUb
ys9VM8abUY2wFQ/9jdnl9/TtjjPaBkYasa/3+rpOQr8v7UMs6m2CoHY7cxNhpjJJKNHlzWQpLyjB
T0bImj06ms/h26+U+q1N4lM7Vs/zGPoWZCDGVZ3L8O4JL6MXpAQgjcMShiFvrZbVNKSO6bkJsJqx
cgtKDbxiRooQZpysT6KLT7NuvKUtC2WsmSUdEGvLwz2u2jk+KdrA5KxxzrUzh/QchoeM+5YmJmJ+
a0DK1qtEk+P9AsnUY0eHOkiR8czeWWOtizrO07AJ4VqbZ3vhFUr49zd1U3+OQRkSdJK55ezcK1b7
lCy0w5p1YdW03BoAHdFiwkWc4SNqhE1vaqde8/q+1glutIJWUbNAFZ1E6alhAC3ScTG8QFQX9rzT
sMAYBxEd2gXPCMmBTgLARifvXkkHwllgVa9aVJxJOkLbtGAeW7w1igD8qC8ISGeBQYZjCxZyAUTy
lFVuYBuktco8ZQtGkhTwdQlXcgIZAcv/K94egGaQJ6cFQRlLyRdcOC+MP10tyumCB+mGcwTfQdDf
KYZQQDlV1n6WLGDxtIVZxFM342jkxsqM2kJSmrMz67SVc6B2aelSxZ5HC2NLIwEuQl8OdUO82xJ+
VyRMT0MpKb5U0fUIC/M5jcgfEqH0Wa664Aq36MRq3jjBSe+jTRTrBuaXLrJ3Mr6fCp5bVkbmqo5l
iklgHf3sy4Dmoj+jPP97jlY5wP7nc/TprXgtX+LiJwrF5Rf/dZRWmWcpDPRVaKx0ePjRX0MwVf+D
Mg22Hysvpqml8fPvo7Qsq6BpHATQ6rfz8r+GYLDrqexk3HH/EIDDUPSHYzSVoWxoqqXbcO3RJjof
+0IWpm8bjbR0ViSUc23MnqvPb8HAfYv5AVafJq9pXa/riZ0Icoiob506l66q1UvsMVZZWLdh6NBb
cLCFesDE6sfAjq3pxZBs6H/4w+Cl4S9NqsVzqtozIEO4eY3u6BvOGMvwHm/q2Maj3wvJWdeK+rkQ
qfwSVnhZK3UU63Lxtw4dTtt+8by2Jf+ttvhgu1Stv4hv3tjFJTtHvbEfCmufJMTcDSi6jQihdIO5
tlO7rwT+ySA18d1ytkY/jRXXxpI7Ld7c3DL8yNH7G3vx7ebL+u0sXt56wkg+Lf7eGtoIciW2VTwa
vo3cHAMMfuCZLjLz8+aSNBC3iqnNnmDNTHeK8hjrTcwznd5g4ok8E6txMrcF3EDlNMkcPG10QEMs
Xpp4WJs2DRy9zThzLN5la3Ext4Rt7ItvzubF45xOjew3xmJ8rgNM3Pbihu4FYyG+FglFEbJ5A9N0
0pYaSDkd6gyuqrQvOeYvHuuCyPrriO26XPzXzuLEDr6ZstN5jteShPiCJKqCeLdksW/Xi5F7/ubp
Hkfd9ppvTu8EuinK9kIEdwaX3fRJImSfG7vYFXXfb/IGD3ZgSvYp1skRWLWsTCkLFOuUsixYShc9
ZcsSFrGWhTWL2kAsiE+S5FOqtKEfsPLJTp677BTHLIgIDEymc7YskxHrZTQbHj209jxhfF8APJar
13bqOpgbkcqbu3pZetVlEe6T6S5almWVNVpfFmqntl1lNLCg6dMAXzjuxMALaL+Rh+t+UPVTv8DB
JvyASokU/mJ8y5TEPoXobDVi1FIbGPwiydpjXTky9EXGq+jBzXVdGZRFell6UlluyprOHlOAbkPG
w5esZ0oqjwoJU2OzH8bl2NWHytrQA/sGpsRayp1XVWqOZpJfy667DyTt1Ai8PStVEjcTsfE7dYFv
c9jbLrRcIClG9klOgsC37bdWGg9xRrdct45TVDq+lUSbapx8s5zXvOezPRVHI4eg3EsHQ4mPeWSH
COmN4FTYovFyU2jrLgrvomkMicLMdjVVZFrxJdmRtRdDTMeYinOlpvZz2A08gWZ8HvuSaMGCxozU
9jk5KZWrmNkOXpRv1/VzDm9oYJSE4fvdtGKWlnxdg0gnPs2V+6ZkXibfimZAMJmgcdNJtRvdQVnO
xy1nsGHM7u1MPlNL35u9bKMpdUrzHCDz3gf2/C4qzqZzt7PIU9Py3DfbUSPhYTwYUupiQXmOTI0K
vffBN5FvZ9iXJi1u7VJ9dXDNYWjV3lpnutWBznoIak5TNRM+oLuC75huPxgHRiSMNdx+RvKXBfkL
LoBPw3I/Kmmyq7voMpfUEZzI4FksuNqtlZcuCylbvSFf82K8marJVRmAFUHnSUhao1nakNW3tegw
5wIXZjOuJWMZHKnxi2lz0pTElnINu5zlw7Y6I3K0/ULGbNnCzUi68KJSCMR9uB1l28tL6YhzF5BO
/MxUaDWlI5rT/B1/kRvUioeR2g1a+FPZWxl0tyNT9cSWcVYSBDkUn42K+dBMDoXONVqok4F6ZnRw
17Qmh0oDXPZ4q4/Owh5SPSfD6F8O8ibXa9cJHO7AgKO5Ja9tJ3+faNKxwq0nyIdNZHumDYIibKKd
pmCimevPstLuZ8O+M03x2Y7gWCEt7vLXYhJvlUx8HOLvlaXFa7KHsJ9NXhrqfgTCMtSiq0asUNlr
t2qQvytSu1JreaEqroQsbyWn39qNtJaj7C4xymNrKPc1r9QicW9lGsIPJCIs5G7No3jTOPZa0Zq9
FkxcsPJDwQc2Fo1XVkFBOIr6MnTlZ/6Uvh4DzZtQZro8SeQWRYNL2MpzUzRuYUsH+K47DnfoFxC6
9nVKLB2bRCSwQzoAW1edaW3Utn/Mu+JLCx5lAsRlWRa2GjAlZVtvC9vYyWNermbDYeDXfx5q+bGs
aaRIyibQx3UcdHx2jk8eMwd9g7vT2tBsvxIfcBAM6Xqpu8tia2uPwTnQ5l2h53t8pihBabAXHbmH
2XQh72jHA7YSg31NaucIweJJEOs81XTiVce+D2rz2lCpFo1x242hjH68uesW+C60yxV9iFVhZMfM
QCtH9341ZOGpXhaqufw8pe1BrY2NEEt7ZXATTJ7NsBx60BmL4r4W015Ry4METfQsBXLwFZtYdtdg
m3Fntd3XjC7mAeodMBxJSmCYmvdJm1s7lUkjlur2CXj8StVTZNf0NmLl1cylVdFWn9M62mHqOLPe
Yk+q040yNAdjXqYUmZVigVWeIqMRa0dLP+V1SxbNmG5STbkkqZ2A3hBkMAzaGjXQNqAJOKhS7sdY
TXtEOBZOY1eZVC/NGGxGxWUMzU0SjDTAplchIdpokueWcB1yWujZB022SnrL77rQryOpcCVOCGnb
ufiwQ2+kzdZL9mvfw06LZXoj1jqWR78oSRDOm4SqfpzXY14csLMe6tb4VBrwUmrK06Kh1RbjO44G
aV+oBJ5SmSg62BGl3GVSe5ql4ampxQuTWGbQjeMG2YgCsKthtbL9fXek/YmA6UMf/tsJEecKmEaC
khx8Vz/OErAy13UXF9JZzrdxkq7K9FaK0t+MJ3/s5v55DGVyoigy6LUFLPDjRWIpl4EmKNJ5tL/W
w2bonsYS1IeX43b79dv52YH3+yt9UGOVAaDeOeBKKqHQ+rQSFiLMGcPFQ9J9iUvzN0Opn356PE1I
v5i4kEfy4xtT6bnZQVaGl1760naHKnwpspd//o44LXNY5jIabfEfLxGYYHGcSUQXmLj0pbtp8rOI
CX24iUklUtvfRID+5B0ROEDRQlCEDm7jwyS5LwAcTnIbX+KCkaOGJYiQk/Q37+nDcGm56X64yIfB
cRNILQJ4LpLU9aqtj4kTeb/+1H73NpaffzciA9dI6wBl46UWJxOJQQph3Ip/c5EPE8m/vY0PX41I
p1T0eRNfRklbIdFw4gt5MixwT/AvTJqEMKH/+duCxMVcBsqZgZ/4x7eVxnYeg6GOL1Z1reSQZvTO
Ct7/+TVwHZuMhrgPaML/eA2I3ZJp93VygTjpw5m3itKlsffri/zsoyM/0jFob2lY+z5cpBwiy4pj
4p1r8VSYx4hKMWExcIK7pDvouDaH4PrrKy731HcT3G9f1vdX/PBlMRdBvKRMyUUeGWs3j4BrfrMY
LFy87y6xOLENxVqU/yhfTZ7XD4tPU+pYgkclvyTHekeWt9udgJH5xjW6NVxyzte0l9e/flc/XvLb
ysrC/e/P8cMlSY7LR1yuyaU3USsgyFYJ5VHLfzYM/r/PTucjYec0TOPDt2XOYHlaJBmXoHJcVTnY
4MR//T6WT//jt6Mry93mOMyEP97YolGBP8OsuliUvpOtctr8Eut015LkN+/lZ5/Y91f6sMChAilr
xTKTi2K8RfbVCO6q+TfL288vQfKO4qB+xqj/4xMUg0Wx9TlML0VxNpAJjLBV1c78zVb3s0eIm+1f
V/nw1ac18TYgMNNLnL5k0uJs8PEsGWnnpu1FSjeZ8Zvv6G9vCzoAXltdJhHMXlKHfnxbJLtZIrfK
7NL2G0IvBtOv5ttf3wZ/e0g/XIJe2vfLdkHEvWZGVXYZoNsrEvFVsDz+fy6h2Tw1HHjos/14iWQc
cymj0ro02Ys07wCb/OYCf7uVeQ9ESJJ0ZtB4Q6Tx4wVYOq1BKeb8wjkv7ww3SnYLE4Xx5Lc38t+u
rMIn9ouu7PPrW/38d3XD8lt/tWThbdB3JXTqmyUbIuh3LVn85LqBMwE9Ojyx5Tj1ly/B+oM6Dd+4
jpAOV9f3vA3zD9JMsHnzC3ipFt/WP/AlgN/iFvj3aoe6AQUFEDJcEOg08bB8WCAkmbVObZWQjkeO
WJ84mbYh/jab6hutzR5FKq0ElHJvjqe9xdhuU+QhwsRuCewAJNVXeJy5sbSBFGMrO4xEGa9mAqwK
9gNPIYFnUaPRSbWJMMgzHK6UHkHsOL5OP1LpCP1p7e6m7chfUfonM6P2TlLfUFHnxWH0xXQyT0Ia
/YBQUd4Cfz6E+RC4VrCkd7RKue46dDuc6lehoj51mVV4VQyTgywXSA/gv9djG7z3Q/NGUJ5Jl1E2
fZvRrouG/K5Mo+sYFs+zPDxI9BSYkYa9S3UENEQy9oYpGcyqIz4Byu1VY5VfbSN5iaz6JjdobtQD
b5FJVuo3QrnA3sLSHJ4IETmQb9RvEkyt+AHUi5Gw0xcaiKU4a93BJmIjowGyMXXRs/0PL0GTECWq
YBVPIxv4Q2RAUZKTTzRdLnE3k0Emk+jcaJl1HHLnrskDhMXKtSmGep1AuvYkZz5EmbOP2vEgykh2
rSFqaPL2u1ARSzcPXqJpg6MsO0NaS3Fjew6G6vsmLYutUxqd35G/AKK01fZUFgm45PEVRcu0D/uI
Rn0hoyzIE5s5pS0R/aMdzUrZVTpDz6kLguskFQTUVMgf6F8uAGvoRaEUm27RFdG1NCX6lABhYwuJ
bvVlIvBv04TwnDIRIb0POQ0Loa+tApOrHsBDMYuAAWg1+yTDWCtUvy9gmnNXsRiwkqKa+1mB9G/M
gy+ZNezMkJN1nIrJ449OOJ1j4nGK0ZPn3o8DpfWXSmKvqtUtsvbIs1RIYclocEN2lnEjNzp2Ypys
btjNL10tayvRdIiPJZ2qOy0ct2NQTUGq9t482SdAqI5nj+ZbLfrSx9J4A2GrcLWWWxnF+uiFfZyt
RYjrBnf2HWPFL721uKpRiK9obWfbthlpX4XDnTQFzS5A005FDDwtDxYESoE2p+u5jR3rgoeXxBU9
07dSbjw5ifqV9vTGovz31bE5SbkE3V6yAdANBUOJ6uvk0KxmDk3LrWgc8wrTtgUPPuMYQn5soMcf
azy72vCWTdHjyDhlTa+1ZJDX4RK0xvUEZPBiDfkT+ozGY77CALVpgZYb0wNNCmQUAdDMEfKaPUCQ
Kktc3WlaPlJ9Ukxnmo8BBm5rjcSH4bZ5WIj5MP8hCE5G8Wkug3NtCjLBnMbryuI9bqs7VYt2hWof
epsM7xZkHaNPFVtAJEUnOaH/UU7gVPQMs0te67dySRaewt9dV+S32RqeFqTuu9IKYfunvHAn3DaD
fgBN82621rphmsHSRHgKo/V9KU3P6iJhrRTyBipi1lbx1Jv7GK6WPYZj0LmJ1baPRVj15XqMBNqu
SKrLO23omgeE+gO+C1WQ1iI3fb3VgD58CdPS2LeNyMJLFmahvWsrSf8ShMABTgmtlk0OfdzD8Pqo
4LvwjZEsJoK/Mz/gftnq5AP5QwLIdOC+8w0wXSvuwqdO77Yzce+A181tZCKyshYO3RCHaDnK4GrP
83ksOhBr+TyjFckvmRkiIlZY4XIRszyljDu6MHkPa+tam4CccdKuCZIQ22xCwmEJ6xYHy2s+9Q+V
QQefp3hjByR3OlAPK3m+OIT5delkuELIz8rIOk5iHfHP+a0yKBk+/KDZVplEVEMTnKdUVt2pTZGc
hPScinBQ0l1RIoNvtOIZpCXWX5XGkWWiCkmTr6o9sBqMX0dYC0WFa3e2DXqSOs9hhiHYkkBdjMcC
V1Sebm3gwMW8QUu+kXr7HCoGwV5T8m5q0X7OW+wCoM4Ii/MV5KgrxSbDN+srOL75cJfP2giZntWv
zvNwXWgCMuDU5qsEDUVbkn066YQX9rLi5gMgE9WsbuPEgPtUW8cALUDZyLFbDYuECSpyFak3egQm
xQiltVHXjctI6gFV2qXMqxvJXBKTZPMR1P9LAsptw4DhMIgR9dfY0rKcH43KhgYUnyeDGAa1Nfci
YOrfJWIdO0sj1f4ia3a80WQiqUypVFYdtO9CizUXJghzPzp0hnVnOakGT1d/M3s0DcPMYqvZ7SHJ
wVKBtTb5D8d1bdZ7vWUG08U00uLa2kHoYH3WFKZ1M0a1+I6JA019+qEV/66djn0pPaQLAFOGKFp3
ZctyA91DCd8Sx9kaQ7krJX4aCPudmLpX0SiHXI02/z1PfjP761RO//k8ecdk+WdE2+W3/jpPopbV
sfRzovyGDFKpjP414lew9DPhx7avoGJefPZ/nSedP2isUmIgsXXwtH4g2tLKk5d4HJQDi7z1H5wn
idX5eJ4k54ZWDdpTJAXMZZbK7ftul1qoLH/OdKZr1KxlKSv8RpfJLUs1O6gOtszOu6p6g3hQIygE
fPvujiDWjWGnrBTLLCCOZOM4Fkjd+oS4xo58C12mQ5JNGvnESuvcmCVT45HwkKsKs3wFRk06gAEx
Nk1SfnYgvbpMu16KCuc72czXPC45cw4lJ0nRE68aWmdcVwDsy54gRkEzPy4HGNo2kq+O5dUtcvWa
alK263NYmHlg0P+PjK1ksTSTv9nslLQr0CGYheHGIr2FSf42pNVduYTj5ahHa1BkiHWlcR8y0IKT
7YgzMW9fqAJunYq/EkCd1m15gHCKoHbEqRYMzknW+Wg0kBxj2F/ldH7IO3HvJNUhjpovsqRtEpHz
YucB5ZmdHDG2sFUMxmkW9uvsgM6FH1a5ttofJgufXZBh+UL/B3QEwpKjBi9pRH6hYZfrAI6uJVWn
QhWfEzS0DMVE4MZRXvuDMX2dY/VGifGdDba4jQmuceVEqxhtaugYNlJX0M2OFlSvDCitqktS7Gu/
FuVG5QghO8NGldtDpzhrpZ7fZtuOfcPqCR3AqWrhgiXVnjlW0TUCeE+CEtAexNYJAcQzGX8U4HM6
JB9ehXu1R7GH8ewtsExfVcUSmxQ+Y+1576yw9KzUKDzk1+VakdsMgJt6CeoJlrDJTikScY3q+dkm
8XWlMOV3o4yue71oFQoTPJbaPiRJee3kHG+dKdA5ZMl6rtZG9i3bvth0inkdh/AROCwC0LyBoMtY
tJcAUdgmt6vdgD+N07D1rGlGKZcVsQ9SDjJpCLM8rhw4/gmi07CC+msegsGuPfyto9ca8TNHsxDB
WPlsjVrtNiPbaCMF8zZoS90b2Ec5Z+us5dQ9K/C/whv1UEegGd5ZgcU9VWoqfrH81CJbdHE0QaAa
ZwmMK7NClPSHTBquwJifCksLVsWY277RmMfcVLf4ODBrhg7Hh4Z8VwlNpBUpO3mRHpiCcbTB+Bku
0nguR2lXM0hcTUP60iXdY5JrX8U0XBK9g1If5m8sUojNQ1IHB/sGdpLsJzYT6KAp+qMzNRdNaK8J
pR7uowjv8/R1SJybUS3uMPMmbm7MkHZbAkslI1xzPk04ONcEHQbmExGBVzVEGZIk6Vsy9yS3qQFj
bcRwaiaZ6HqYijnhwhkOARIRoOFLIn3E0fWo1JRrZk/yg5x8KdBN8vWX7UqUaMnjUjt1pf2Q1NJB
Cfs9Y2VMM6PhmxEE4HLJQSw7F+4IjlVHemqRl1tJeSxrVPuDxZQTVe3nltEiR3XN2fbCciiNnHw7
KNx4VePoZzUtbaLkmBW+/ndb/LYtKr/cFk/PRJD/pMvy/a64ZMFY8B+wIC2zIn70r10RD4mqUbXS
zmUPlPnRX7ui/QfUHBJiWGmdBc7AhtmUXRv97/9o1h+0FR2UCxo2Rn2xl/yTXfGbuO2HLguqNxQj
jOaWV8Ef/HFXRBQHol6S57OWRw8VMnZ2swkun6gwDc752q5M5svlzpgknInOQ15Sosgd8mRiIj8l
tn7SynaXJ4lf9XbQeJaVk4ARY6m+z0pH8UtVvoZSQauf+sABIZdIX4mgonooFK2PDhZA4dE1FjqZ
mVnJtkH/6+c80VcZyZlXdubdkC4GvX46OwaWjbHQPBGBaqvG8tM0SQ+lUdxrdApWMpJwV64pu6Xp
HMX2XrHQMETNSz0Tup0CygvBZYlEvXBaflD7BtJ8y4EzaBerb51SThfvU83AMFKVdaATiQE5TaPl
M54JjXom9XX0jF7rPDKfXqshn5E04Vt3RtsPZSQANDgUYIamxdMs6dNuGEvJJXzjoHTWGR+K2ynR
YYbcJyuEfPd5hDGeLbHuxWMkO0+SbiGIy7Rryh7YGvlDGs8MvJP5vq2Hdd8p4kYJluTR8l0lcbev
41unWxo1Wn4kaRQ81gTYrjtIZf//2DuT7raNbu3+lbvuHFloCgVgcCfsKZKi+m6CJcky+r7Hr/92
2XFe23HyrnzjDLMcCSIJoqrOec7en/WaSg1AQx5JltWRpSe/rGkQuaw0gWAHZMcK5RL+n7nyTcIQ
NrN7ZxN4K6hPRHJ9S8IqLCC5e4DUi5iZigxg69plDgBIEdEyKvrv4RRc5ARctq0f86Qk3ZW7Jht5
a9d19dlPa4oPtBKQl9cVtV3J825Laos6GwvZ3iJx0zQ2YW/wflZBaD3EyCcISiRYXpOUDpR6lsf5
+BpI9kn8zmVBbJEhCCS5ODsXoaW96jWsn7pn+sJImCjH+DNhvz2RGmUp1JtuY3ahPKaDxaqb17dh
A8/BbAGBGWYAUsLx4tVcA/Hrx3nZyFRwOnNWLkWsLQPaiIy5/0HNuZw1xF6rmge2lju9Mx+GHst0
EDb6qm1MgwFGMz6WBBsYu5bGOrQzCOl9TGBjhO5vCQTpE53/y3K0zOvIVGWbpN96omToNbjIEjYC
Y2W+0nC2ccVM0Znuz7CkM7iZ3AwrLykxWFUpOO/8bSI6ZvbRUxGwqHptsg5CPs84ndIzLbdFNGZf
Dz1/OeaongH/eUao/pngaQMMlHb3F/TMj8+I0kIBkQJ/O6cZgPRPxGP+6/T3Ly5BSwu1BQlgg8yv
+eMlpjIYG9hY4sxMTpdcTeVd7v0b0P4KG1J+r785usGQPXZR8z/nNwoov4hpqx//doajJ8B4CG5R
D2qUh4Tku9VKDUO6OpFrlh5WJ1qC31Yrm7FGfuYPVBE/9W21AmPExCOIIdUOoxX/jyYef2x8qY6A
R+/TxZ/G7+MgpzoG353gao6eDbdocKaWRY6atOd/S8b83HVgpJduF+QlUuKwNMHP8eZ8f43MKHSv
TKfxMkicfR523mY0zbjeONl4Gi0g3bT6p2Y7T328llpJItVgev/WpG7CYQNfxYlzhNfs88CvTl1N
CXSZdZasTmqVHdcCGG6w0iH1zOtm0NdFOejlLiGau641xmLGsZq3MKNNHGfS2CImq9ZNMcRbS5bg
wnp5FTu5CptkFPiLoGYUI6CYFtRFrNEAGebiFmBA+DmL235jGcDb4qXb4Nj00kmY8dJL+a+1UcLt
X4ci061bjhDUgMtqrK7bkb8iIgY6o8taaGP4ZJXGgZm7Gt6qBtbIS/ZWX217Rx6HThoLp9Uuu7B/
sBPrrvKa2zqZj0HeP0ibsS5XMsmSROKIanoNCvsY0uQz6MXucSoySDbKA7U6fFEE5xFSEawH76Iz
DTQX0wUdiucyjokppo5c6EV1riMZ77w8pESrv4US4kFYElIWmONYNI0PjlAE+2jfTIBjyVzTTg6E
lQFvG+1tbvnzgVLeofe17UjZrtWiYJulds1UEAa0uVxXQ3TKBtta+5bCbzBaNc/1nnrxTWhX6TbO
OdARbd3XlIpJdhr7vBk5WobZbVG3h9BiUcJIL9+nPmHwsg4G8A1yM1J7XYwGI1GiJZ3NCBM2jP1Y
Vszw5NGC+XRFi3KXtuv2tENi+9YWU7GwRmqsTY7NEYmCyUFfoNOc2lMlew28Xr3vk3HCPq1/CNl9
MjIbknsqs4Pl0bddhIkdXZe5m62MUUSgslhgDcfQLjzm2baNq7+jgt/PUrtsDee+DbVtGlLhd1Fn
MmC17CzjiDD1us+xU8bmKq79NXyaZSaHZAcxdesOrUkEnTfeztU0Vf9oKLtnaQcrPCcvs+xPhc6K
HNXjhZ3qVzO/tDdgpeL0nAXo+VJ7NRvjQ9PGfSHmo+Uzg+Y8jP5L4c4XTja7G5vpg9qx75HIg/4d
33o0o11LGVFkydFmoDHw8WvDDpP41LznNDCfLZDW4CaMoyfyYDmIc4VhLRPhMpw79n8cn51Qu3PH
5l5Q1x6DhM1cGFyJHrwyu5QJNFh0aItkz4ac1H9vPJRaeOe62T3Yfxwtw8YJys/UES4qT7sYcdGB
cJIXVextU5l2C0hqK6swIP12or0RQ3zB6zvYsf5ioa9B+ZIS6yxAHZtWiadOjMlu1DLzuRhc56lx
i6hmZG3y77PWT25G3yFtP6bGGlUR+fKoDVeVlhAGVYpCMg00Pkz8AgNfi2Nf2tFlJ2amEdO6Z0fa
MenFN4xqbMGIZMtOqPLdt5lG2yq05YPWMATeN/LSJ7GL5J49ZCu8hpuZuYp+6tLD5FKUCEz7ptUJ
HWEcqWgeUZ0GqHDoi+k2K5NhwYQE4qSyQRbriScpb2M++VXVodpwRkTsrpXKkw9Jfz3OQGwoRL8J
oioLiaeGrxwMamHf6WSQeR8n5sem4BijEyHF7V8nbfFGL2YZ+6iPYwA2jGncopd9tqzypekSoJHx
ro/bz0RhzqDlYqT3FJKx5T6bcbcJpfNSTNqigxG0EEaFpXcgXtA2FMdi8MmNb6+miQno1FnHlfkp
Izy/LRkXjvP+ubf8rS1a6v5R99K0mIxqPuZk2Ji+82jkzYPd5Y+2UWTYjeLbMZ2OuTfs2goqtjbE
j0E47aOBr+hIINXPtpCwmMxM5U3bzmcqHc+Aii4LdoWu6B+HuUaCXVxEztxveuHxsNDrJZ8Gepvk
Za5UUi6WWxEziTCmFePtbrQPmhH/u0XkLLblLT003sEUineQO3cYnC9ai3YYgdtnVoJD5bN31nB7
R3SSdkUcPNpkqWnc1jtbHW7EtNK68WTlvPosdI60HndwVy7oQj17+OJ9ksGlm5xhS+1AC1MhY5wp
M5NXjVKCPUS7LkU6w1zLK+N2F7zXq2hGkOiZ3oXopuum1PkzRQOgTdvVtnzxAfn2E1z0tr/ljLXi
3DxvmpESWxaFV7oYP1O7w00DzVcXMSRf5jQ5+G0rv7rL8nZme1zsGIKqdhRIpiP15lVsmseujl4k
Ok+95vBgmkW7yTNG+gshhivC0hC6atQciVs/5XoIt0l3z5QDqevlVXVoDIeKVwhIjcPwe5Si7CY4
qD0NpeR+mY10TWfYp3gVpZ8Y03JWJqdluRoADNLO/ofZQrYgHikyU6pKugI9/hS+MhLbyLLc1y5j
8D7JQ+K9Cfuf7ej/dAm10/puJzVxF8uk4xJ6RT3KOXflmZjhd9vMq6/ng//Ju+wKhl3b/N///hTx
+f0akvE9qEvSVr6C769homDLBi8KzjpnSZfKdnscxztmrP7+MlRJvj+cfLkMAE2q+pYEx6H/lPAK
iphZpaQPzh1s7wqCT2PyPazuO3E19MZCNtQI7a958H9TRQCV/+Yocfqo3z8+/bnepX7q2wkCFYVu
qwYLzwP3S9PmP/Uu4zdTAPlCMuUoRSGf1LcThPMbkSGTOBE9IM/7UiX7doIgVcTp00FXbImvAot/
Uu/6Ejb/z1n2S6rI4T4xsEhQeRM/R/ktzWTCqkqSs6GLtr7w2qjUoVFkQiMpkDiUV2SdTdjS4ura
cCBCABaF87Mb93v49NtcxUnUYFvrPjArVi7KqL8zLFEf9JEx4ydfdZhlizJuIg6/zL60nxPyF1hz
dqVpgxmjSV0k03nU0p4UtPnqcyBbYo05lDS2czmCy6LVPdLyLlXvu3PHB2JAnyRN8dIq+AXWXO6C
0aYi5BY70XjXCMU/9wXiBloWTKapPntJnf7ep/WuCfa3yHaAIo7G2aU9P2QxrAfVsQ9U736s3V0v
2QNlybBTK6xQff6hmDrACRTUiqLq1xQi4l1pZSA26ZIs7cKnlV+FT11StavcLlm9Ez+Bb6wbGwbP
kYNpFnueQbbhjgckgzUVRx4e5ghgWce0dBeGerlOWNe2jWGkB3TUwY3TOiNEkVqJaaifwBiwzxFx
syW4CeNymhjnHIV5FeaMGObNBNWugs9VAxXchEXGM77PuLQZu4++V7W73LTooIc1uLveYAxzTHyW
IaPGeNe11sEta3awGb2AgL8hr6IL4WjS2HsJ86obE1ZGPzmJ8Waw0111HSCAKo5PYd8t0KcSDmNT
HSLHZaJ+3uh2di2QxA5s4Qqs0XXyQRLtsWqSY6ETUcqcYZvSOVk6tg1sXDvhn+BGyqKVXeIjCfOL
0qyfTS05xkPEns3M7qwgHNZt6L4LGv1m4Fzm2UimImydhNzWhJ/AsnqLjaQdxvMJNxabjGRYJ2VM
vx3tH7Oy4b7LfMixPsGXUZruOpuD93kkzOnr4FxKj7nLAmcuNLY8XOL4fmeetVZ4hmQJEJvtbDiu
O4MmUjbdgwsYV0D3babv+piGHgPBaLsvWzlkK1e3CXEEGegVNyCEw/8Z83tDBrgcxjKWia6Se7aX
LGEH9dspjPqVPuoIYTgDJ5gwmRADNarTnJPR2C+pEprrSAlJdMwkUilKfFwlgzOyh1b6Ej9vnEWF
W8oj54L3Es1Jg+8k84NPyDuAPzDK3SolSqzcKEqSMvWM2OoUXzslUCmUSoUxKG/jqu2/0qzket1i
IseKgRiFMVPyNzF6zItc+Vi+PDb/XT9MFvm/LkWdoE++/2L54Ie+LR9fJHAuw0Lq0QwSgH/6o11C
vsB2TAYhYKEpHMAfywcSOIqHICNt4CSK8vhH/emLHo7+C60UZtUpWv2jbon4UyRVqIVDeoZh8ru+
Yq6/2zZVRUVmJYzDKwSwbIc5E5BpsZ2zgcOL2z344mFLvkrZuhJVFilLZWuboAXWGyodWNwGqYxu
g9vs8JZZ/iulnFhfD0OeagdedONfGIxsG+tg1jROp0keZWSeRFj2S6ODcjUyMjmncJQAXgCeJYZo
kVCdgPMseap5jAnXU+dgeaSSE+4cwmEVmhBbo6YAv3lXBbUXkyNoWAOqIa3PAfk1BpisCQZS4JJh
WyQuLpa57bQPm/Ly153nv7e+yk//9a3/3L29/vnOVz/z7c4nPkNpVY3E0JFTIZkf7nzJiASscELX
X/dU3zZOHhsnj6+FQzGJ0qdqL37bOLm/US1lRJZ/YoBZ/DPYHGXeH/bZbJwYOGHbJphuYKjKUEGd
77fzaVszv1+M+rklygKkyUZwbHHLal1J+swor22VfUHYRBedhXZTFIA0WiIyNQ06jlmkZiK2hsda
JWnEl0zNILc9IZvUHctTPWvLsgee1rrvRo8/ysyGnQWiHG/QsPcQekZOqa9KynZdAycm9xSgaxD3
AxpQEYX5HfzwjqBw+S4H91CQT6kNxpdFZkULyJ3vKcyKVaEMowTmdqNyjgZzEebXZNqYQBbiSrNI
QsjBW7eD7pO403xMtjUz6Wl1Nfntq9MF735GONCcckSIU1nt3dzD/VpoNy2qqSuPLiGUuhCPhVXb
rFiOs/JpaiwDjX5l7k/AwAQ1Q8/61EQSI3x16bZ8h8sweYpM664tvHKlxeZHmQBa8+fgvu6ZiKqa
fSeRJWazsWO26JOuJznQ6nCXeON1rsenhl1blgeHePbuoLM7FLsox9WmfoeqBGU1H0IbklBJfSKA
Zmu/TtCAl43TPLlwvAlAkKWtbM6zQr+CfWSQSYyuI4/Tk5YN7nAxTdQkIIDQVSwvdJlfunN06Kci
2Ftxc9NJAAijreMKrLOGFCXBCKBu4K/SlTPD0q80jSdMDhMR3DxKE0KThBbWUd64Z88sp21K23DR
S6rDeeWdgqb+MCsCUN7sBNcaPlcKMfa7h9bxsprMz2lhk2eoZaGvwtj0LlNUJss8r9kiJFQgaZwm
mzzFmkz69UxuqFzqqXsetIKIsPTIVU3F5ywRFvjW4qKrzcuyKHEOWDNTlpEgHUz8d2HY2jYemSbt
je5FluFDkjAzVEMmQIVGotmk2IRlBIRKrigmzfzggB4x/OItC3ziORbRsFy7NtzyswindRdCpqtG
d5knsl7qbW3tJSzpUmYXI7QIEVjnyUjOwupGSvSeqnjHj/rg39toA3ZgjEB/aM49GxSbP9sk/Gli
E3A7qoBVhgNM12+yqb3Qh2hbJfFNFAVr2aXPg16/2V5dUAE2Gsb5YbvUSbeqJdirQs9PRNt0tnva
Bfw/sZU6+8HOAw6eB4ohbby7JnSEpp0eSwKyi94oNyW8BKiHc7Waxn6f+DOk4Fy/HNLhLVQZLanS
WrmMqkVBgMsiRufRzJYEu2KV8HKJerU6ldSakpymUmBoPYtlwjzjqBJik8qK5ZP9qSU8NkC+AbId
Hyu/NomzkTBLTHMbEzlziZ5RI7k3iKIZWnPN30fJlpCaR1itVqk1/uBVMPfDyiPQ5qpkWzfrN41n
vUwq8xaIkJOUysFpyaTtC5WNywnJ9YTlBCtfSHjOVSm6MhP0J4TK1vkqZQdR394BXVnXftWB3CSL
lxHKi3UCgS5xxmVlNDPCdLJ7mUrxTSrPx/YdiqRKBamsH1AZIGbBeB3T51r4BAJdlQz8d4v5JZGj
cqV/vc6eipyg6sf057VW/dwfa63+GzAqllNKbURwfmpzIlVh7k1KabPksgX8ttbiyyTCyvgTJKrv
9piW/RvhHpZZ5s/J8kgu9A8qFI7a4n5X0GKhJeQM6pO1m244D4qfClpZmQrm8115mVnUhEtYlqtC
d54dDlaF0z2Sy75P5msf1iTJ6LVZudddG9xjIyRliYBmWYKMqPLpJI9xoL1bQ3KfacA8DKuOt1Od
v8kWihSpg32ZxcATc3IrXQHgqvaXISTWJdmSFy3vyzejpUNlkdVck5PzGf6JyfhDUfSD+iIfGK+P
rfAxgzmST97zDJckLd16OUTV6xQn115ovdbSeBp7+JGU10+EsovlBA5yVVbxoaMPukDI1j9OuvsC
bTI65CVWd2NgIdLL+D7p0hd9cmbEicBlMOvCh5p3c2W+9E12CRl2OUkHiuo2wUpc0VhZ4LS/78Lo
2Y203aAXj02tBReOWa68RiyzvL80YjQF6XQ5TtGl6JSeUC0aUfipKNtz0ObMg8jh0osGHnGRuRc8
tKp2AeIPi8mtgn/D7mmTZ1aAasGfuG2aWZVb+lUqIK60NsDAJDahigisfnbTUFfxcmWjhKChHWVW
DLuidXoY4N16KGLYP/LI9MO8EYxyobhKd1WRfqphXqxas+H4XOvbWs7h0u67K6SDOz1muEv3+3wb
5tB7IgBXrJ189kzt2MFMOal+0+eJvKbOuLg7s9+JX0fpe2qg6AhX5JyW3mVWipWM0QczvnIcghBR
g7Ny7JkBOwELKNWZyMFWRhMUvs9SqipqmtATTZ0GmGjUZku2YtxskQc4KmMYo3VeYUbtmatqN10D
eofgkSKeXQ8OblVH8X4r631S1lWBLCxXHtaQT04rrXt2jYtKmVqZEHaPlWbsU7c4lfH4Qi7sIUTu
WirLq6F8rzMMYuinOGAnZYNN0ML2yg/bI9HpIg5gM1U/lRW+9hmdWib9uOPEVWyo/KPwnCSm1GJv
mVHMJA1IJkJABVZAQUsukfrWNlKgRNCNQOWDEsIkGNODwDB0aDEMFjPzIqDLLhg6Ouo4CE0lI0xp
Zri9+xY3wd4LAwbnWIek29wNeAzLTruHprHXc7XPEB+FlPtED84a/sO8SantV7yp83AUGBKtrjh1
SpkIkucaodx29KOj6CTDJcOu9Aqa5swt41yEMnQRCIhM9WQdynQ4DI1+pStNI4axlR+0T4MSODZi
3kQYHcksZzRTnIsa16MdlQdEljuR0D9Eq9HtY7yQAj8kYXNYSz0cNsSRkN1um6J5DDBKIqM7dRgm
w2C6yfUUAQtf+iQNN8wEP5KR2NpBsctk5OITzbdSaSsjp6WdhMjSdSyqYsEeIuB1plSXgV4tQ9yX
vac/6UqGCX82XXn4MYfQpoVDIAujCgHsOXviMLtzun5Z4tY0yQ8vOzc/0VF8mbFvDhq1MWycKVbO
nPhWoyydgG8ZZDTXc+M/RTr5kYXzxeppKsFn6tK53rgF2s9pRADKrB7uH5kePNyggmDD2CIL1YDD
hmF4FlhEfaUThb1zGqAJryMP06hSjsJhvdRwkFaFd1krKak7jAjp0JRG+EojozuOyJAsTKVAY29n
9RFaGE5LTKcFkGJiXaR7tccRE6plGJc6bWi6lczr4Uo1lTQ1UvpUgUe1UkLV2rA3uVKsVm72UuJc
nbysZaNa7xJsrEleDqtGGg8AtS4qfK1kLDAJatd9JI2lKe6coEPxML/R6LydKW0dcxv1q44Dtszy
k6Zil36VrgWWWPCgWwdrrFD62LhF/zPUKGUT3LKmGXwkSjYL5kInwq/abgxHGUaJkhY3rVPZNYk9
dLWmEtfKQN81WffUDNFthdl2wnDrY7rNlfJ2xH2bs0/lNd8FU/rYVmG/H8UVG+xVjDTXjCU43Gyk
BVucB7S6kY5f15X9TsNG0c7uvm7k9Zwauxohb47CUFOG3hCeVt+Zt4ly9+ocJFZurUq4xsDmUJ6a
L6pfCopofztlALYzJQMGHHMwczInGdu0TVhJjO6w/SK359s5HysgjgtZ85Iod+5qIhdOkHtXLnkL
+HOczWaNna7Z05cN+n5c9F32Bs53LWQeb1hhQPxxQl+VpipIBpTN250fEqcfFS266L3+giw7B0ht
+pzXDahGBjuTCQeIFXOSpBJKND5NH3vyQCt9kjUcLjffGGHjaIsslswnZMGRfkZ5ziujfYohzYYc
/mqNrsFgXzdDPl+k7kyldoATH1EfR7dYDnO6QuZ4hA55gV3mynSTjRjjtWMy11H5N0FVH7qKLppj
cVxM3W6dG9WTj7Na4aHWtdEgcEg40Agf03zbvvUxUvvEfUZ1feoHUIVltEK3tGlxaaO2uYNTNq1c
J3zlyfqgW/UOtuZZt8cPP7YOzAiybQ8hWUVWsWw066mc7YMTZSekcdZSOhmZBxBZJXyvjiWa6hZ4
tRosu26v0qS4aRtki/QL9mUgj/YY7RjtWARJuc88TBeFnqwih+ytjK1rb8huW6LLRBgQ5+T5XY6t
ZJlpyUGPhr2uaydPGEu2QltzrPat7221JNwHTnVgAPlRCuuQ5sZFbbHSWi5mrvLdj+d1nATXo89O
YQK3Nvvhum6ipV21H1noHbU8XzbcdCPmtc5L36Wlk13z8n2hRzfA8NfSjJaeiKeFlTFNOeq3TULU
qs0ZQ0Izx+hrsEaNs/F7ROAqZtsxvNTGxi7rzCcIGss0NsaNDUPdorfC1oIyS55WPN2Tp9SiIGLY
WIjpDXkJpcMuSBEAxQ+e528td77Se5x1SWvcTQONm7h8LJjRWlkZ2h+tjz75ddEvx3joaERYl8xQ
XPqB9TLqrVxDa1gL39nGXrT3It3bBAG+vmT+KCf7si1pmfN8b4/S5GYJisFmutxhRGEqjbU/Sfdc
cPjORbdGryWJYevXqdCOaUsKVwusTdNojGrYobGoG5hb0L2f7QGYpceTBjTZSCfZhSjIRMVoz9el
Jp8J6fmbMqqedChxC112m6TpUzhivGrXN3YAnknYwj3sCy/cBTUzHrStTiVH3oTyzFkz60NpBNXK
lIzBVHX2mZ5RwxYRbrfgvyYA/UZf3QbRCBh9zvaDA5Bwajsca2rVtsXTaPBFi2mArOoRPGA1iUsj
iS6TIVmKWKAxDufmWIKcI6JrPZqEGC+G2r/2mvQZjKjYqa87gjl6GjmrOegS69kN29u8FNfGMEZH
z8oZZyr3QanfmczazoWtwzHstoFeADBPjlWgbzuHEkZgZ59pDhKysMgGWu4dcZqLiAnmpJfsM4dx
3Zjt02RUN95YqbC/cxkbwWXmxBsgzRPzUPFDlXrPYrRuwHoVB9uKcyZ2JcHjVjzPmbdH8aotyYXn
27znF2uVsYHu367KXPS7GMg/5kQVLAy+hAxHIzY5RtRkHNfu1yRiYkltbX5NKH534vtF8OCnLLFK
BEhPIqBhjYcc/HMiwIx0ncxmHp3jktR5fmrmceGJ27+/yC/SDVwEryG1WlVkVae471oBiY9VUmua
6KxPey0/6dTnNHHXDl87RX8Zvaap8d1hUMVReS0OzRABDUxRMH68jE/JmFOAzsbd/DwU95r1X8h2
v/j99FNIXBO85u36+b1qvEkW2D7Scz5wo+1cnyr2H6fvX3wWv/r9cF54h3ijFLD5x78/cDA4WnaV
nV3OHfaV/Xuo+y/fHxXH/U87/8/vz0+HZWSBRqjxKD0zKK1ly8TY1M6K4bTxI41Xf/9SfnEpHDCS
mRxhA3jyfvooUjfQZ/K1yVmPd4wiMBtWwvYQS5ZhYAd/fy31Z//0sn74WNQt/t3dpRtRRsg2Tc+l
tQRIgFyEr5aKIfWbv7/Qr17U95//Ty8qd2Kv6NyvF7IYl0eAFW5YR9RSXP6Xe+0X30vo2uANleDN
Mk2V5PnuRVl2bhYsvPm5sTZ++tqPa9t///uX86vb7btL/Hy7zY3NXolW+Dl3X2P/WWj/H7ezmpKi
2cjEFiGXH18Cgga7FZoJWZ8noAUAZPq9bveXN/Qv3iRmU3Sp4i4q0fTTIESu0VFopVGcZ+d1cC47
KBN6+1+eXb/60LmJaZcKhf9RNa7vPwgvzMp8cufsDLgVKodbUe6+7ikJlyuqu3//ifziWq7OyzBJ
0zPG/fNzMvQZKfBiOz+H6ky9RmhHOdypFgV7rJsvl/q3tajG//546K5e29fffdOXr9nH//3vTdR/
sKP89PHnmqf6wW81T0P8pj5tElg6TUZVv/zWWDdIX5GJcmmTU2H1dJ4B30qeoPnJaTF8TywL4hNI
pz/ai9Zv4LuIeOk81ymh/rP2ovfjbc+6Q2ncVJo21lQm0n7OPIZmzrats8xTXVRV6Ry1FKAw9XKh
N0w6sD9Ozl5nWglnZd/gmD9088aYJsNhC0ZKCE52eu6KSoNVw2SwbefM0ibatBrMJj9kEKRuJwtC
SDeK8phHbfHeBu1wQY8xuRXGUB9EEVOqa0fnwzcjsSuE62/wkCp3IdD+lxBKgceWmBZiPZQL4aXb
xDSG1YwS6a1H/v5Zs6L5xmxk1EFAJiSWT8w2MGNDJkpWq9GkVWTrTJRHIfmdLOv8OxOg5w1R+DS8
1WM7CZpt6hjVvJ/L0OeYQycYOojBtIfJBTudwy2nWcEE8Woa3GJ6JabeX9e14Q463yZTkNQFE34p
ZRmvMzuq4nstnm1Ol33iOOR5ZFVzELCA7Ng94MCk66y96LN2PfPtpVPXLmqQxW5bMviZ2+FK72vP
PvSlVb+iy5UExNi9L8hZNCpf2eNInaLcsphrQ5E6UcPwVsUsbmaj6Z2dyZzyqnDi9zZOw4sSueV8
sqmm7t3KjfobHIzGZqrtfLaWITfmcMoYUMm1f8MGX0e+VKzxr58Il68l69rPTnr1M98eBqaJvs5g
V+mAFRWeWmW+PQ34J6imJhsdQ/99YPnb08D9jVgOE8v0TWhMKCDHH08D9zfDFh7/YqnwJxGGf9ID
sdQj57v9z5ewAQOOQoVBCUIzfPjjClVXTSZsRJbnsmyYXeHQsag90l6lPd0bcbX1VS5uIGvul92b
3vkvkRwZSx7FAfBBuqoS7d7rsTrZ08megU3boPdNH7OEHkRnCQVr8t0rPQ0MfDSdyeyPvk1G7zRY
9rHIiq0beLsuNikxoNdxJZ2VOkC/RtTtVtpFt2Fq+EOT+QHkCdTcXgQnR6LdYcrfX7iVvZ5oslPV
0beED/a6DRigNN0Hp7SuKAWcbUKngJTyHiB5nwLombb+CDNnsr3rNA5uAw6MuQ3efrLpLQcpje6p
FR9DEcSnee7K17zlOpPdb2eN1rcFoY7c4o4yhr4JRoMicDqElEcjHShFUF50epCsTeR7i87kS5qE
1TJK7Y1XpW8BYyLtxJ9e9g0N6hridoE5eZyhZTg68nQmfuo8Z1qmpfPdhKtapMYeJfwB82B0YcCi
8+n+ICfGlOYn9BgS2rneIG8rI5LMrtbtkl4Sr8KrBU9puc+HjsfVTIvbbux0T8H+khwJzo2ckYXW
f2kC9y7WoMNHmrUTk//BuSVfMC2DXkFmq4YmD+hW4GOa4DEd+g0pwEy/ozsC836091R1xpUIyhtS
pbsRwuAytFEwBHNTLYuo8WFZ0pXFPB0vyhgpHgWC9RxG07ryU4E7JHmvDUo2fYWartVmRUUxXCJX
CTO9sI+gEoYrjYjtph90L2EDaGbIPfx8LzvN3hGgGpaD5ib70rXxfQmiWYKoAafVeNsWdlrt6iYo
/FsXXN2FIcNPgVaUa5cZpgue+9HSSOt9XQV3NHAYumvNndAIbrAjXDdhZ697BsjcPi8OuVufmib7
XIwoEsU8ED/un8qGgrGco4fOrIAUWp617P3yqWfia+0087HLx2OW6QKsSXw9ty5EwSLYqlZ7zsjV
5GsP7WDoSzHMu9ikliEDcXZIx3Y8rO2I1DD2lGJBPnYbO+YxlYRMdK99mUv/3OvJvTfSF8tsfx+Y
lb2lM5MtY6OK1jWt7w0JHXzWySkMtOWYBuFa97xTnnq7li37cnC0T5Ef3QNBq0jLBEA+TP2TFZUP
feKuGHEk1YZf6LWv7bVmaM+9oNA5tO7JGityccjfrmUiXtoS14HhfHLm5kAx7nI2xCGIZoZWCvs8
FoV5yutsm+pUvEtHHqyxXiLc1heaGd70gd4xrji9mM5doq3F5B7KKNp42OMWfshwVo4ZOOodY9Em
6TV6H21pFvVzqbU3MTGlJcXtqxBT21Ja7coaACFG8VrT5G5Wrh8m5JF+1HDq64QprdA7MSmH9CM5
E+9bdoJP3YTi3ztjsE2y+cWTfbtpob1IYoY2WdVUixWUpTp2w7z3yugNwQvhAcNgWH3wiKHHt21q
v3n45lbd2NBDqZyHQIP/Z2Q+X+IiJJYctqS2eRYSrUnHbZPDFvxKRv93D66Okn+94l6hdH9t/rzm
qp/6Y81lMgKTFQ19NfzAXve7NZdoK6kD9t8g5b+kVL/twJVNln8y2APBtTe+DE18C/h5vzFIYTJe
8zXfx5b+H+QOSDj8vOYSXwDdqgYjYHySPfhxzRVhkJNHnYyznTI8sCPlbS4qt0pOsZ8uxdxcu+H8
6AMqMFEjbofAe9SgP7Er9KmyB1uPOUKQQyMhpRKgXlFfy76AcKAfOp/qezburbFZzd3u/7F3Js1x
W2mU/SsdvYcD8xDR3QsgZzKZHMVhgyBFEvP4ADwAv74PJMumZFnVjqhFL7yqkiUyBzLf+4Z7z7VS
5bGKokMYbQjhOWmpFx05md3AtiZv5WhM6zLBrtae5tfchNQ99VbmkxP0iJQ2X7uGQuSf7B7nCrSN
Do3JsIbLRHbGugHZwN+rZ/MwsoBmWWYyUfN7J/9UKj0Gz1Z9S2oSPmf91SXWG7pIRiqrPt4U7igx
SJiPclLu2xmKwojEKXVtjKuzd1Ha03SmmNm1rU1L4g/mhBFjIhRw/iHptlbYoxSbIY0M2orQDzyz
eoLKPjTx7sZtw6jW+KxmDxYKQGHjbMByYsl2Zy9M/9Dp2pU05GQGVkYmCrt3ssdXNYpcVl1G5z1r
CexR4nKxoYDIiAGOlNkOy2qzhqYCk8gc67W6xGHRpCyjXUitKsAtVt1DC6kjWRwQkeyu2OnDT5nz
9mqojBQbLgTM2uFs1Ze4XNFCJYsbiJZFmVHtN/ZDNbe6j0RQrs3WdP1qSe3t+hgrolcV69ALEYE6
crpCLmP67OXVVQp2K67s6uAxI0eQZyZHBE7pSnq9OMTR4GzHNpp8Btxg/xtk00QoYrcEW/aue5W7
beKmD5osjHaarbwMRNH7pMk16wGFmq81FGEJUpCdqdpvnlJZfo+Yc83iWqc+NPe52kPUtNL80jWo
eTRRomZWpmTtkY+7NXODIJVBWFs3bt6KUfO21pQjrm6V/NKZq+jAO4dwOpTls1uxhtanRN2FKoR1
AbOTZEvoj4bWZS1tGQGmBQLul3oiAqICpusLi1O3c5X2TDqVPItk3269GJkMEUbGtu7sfM0Pj8hF
Yb0nTJhI4IrfNfw5W/IoGR+rc4FQxKtjrjrXfFELOClEx3HPFYlDEBN7g6Y2h3UYSU3hWZY2btU+
f+EzFx1a7sudnLOyW8ck/ajr0XBHLi+ujvccZs/ORdN+VWlQfaDXi7MO5R6igzoJWnW8zRUtQvdB
VG+5hPZWpPdOihcF6hwS+IZojeoDSA9Zv0rU3OdL+G+4xADHxUxk3RINnKqEBDukBWukBqdLfPCE
fNPXl0hhFnYo6GqWJHN/hZfQ9S0bATuxec3e622c+8NTr4YbuSQVj0QWy5TsYosQYzxEB7Q1D6Mt
na2x5BwDQFsOEe/IW7HviUKu+Jwq/VKcF+6t6lqXDaHJNc5nvyRGGVD7Z51Y5SFX6KXb8bKbW3fv
Er1czeJGEM7ZfMlk7riEG2KaCUxLfAoRck91yAmwZ6j/yaeRkaBoiq8juDq+syQ/9zkZ0JY6P49p
ShAD8dAJMdEZcdGuIY/KaKCQXJKkxyVTGusOm7yEnGkTXcRL6pblk5116S4yBnaXJv70sfHMA/pU
yzcJx/ZNq3jxhMWZpfYlW6HmspLKjS2E3KZZlhwiFt/+WJEGnzEN4CkpHdFq5FbVI2dSWMnoqmAm
7ws+Llf98uGZ1TBcsapKd11txesU1PVWRfp7nUdtvXJJsGUt1RIhnNr099bobWtTm9ZzGmOBZW/I
CeNM27Gf0nUoEoOlamGuvTm1WZBb72KKcOaa8x6VwElFN1IY6TlY/2JtSFWHzmzkawMP7SYzRbKJ
HUvdokYmoQsj0k63R5zXNcviOJ9ZYSb6VjdGjvqUZxsXfGp1SQ2Vl6Qt2nGeYxbilFKbUNvKkldq
tYO1EHwiWKWavVUIW/XTAiBDA5QOrwOFPcdU/3Wy+W+ps+RK/H2pc/P8meg6hgs/Q8nwlX+UO/gZ
lmpCdchh+TpV/GPEoDFIADj27W/4qj9HDI5hcysvM0Dmi8wRPowYVMogXIKWywfnHw4c9UXj+eOI
Abw8z85STbigPyYQGOlQCvRt8jTmLj1Pn9Qbdq/puk4HQhXHboMLUPC5tMzhUabFWY1HHYm06/ik
TCZBOEVQqEtXI/rTJhSdQVsxlU5gq4lypnbzsxXq84XXd2/SbkBaIhLw6zy8gQVhH8uBa2cajIaP
69BcsGJcp1H8qcPxJ9WSEDjPPRSdfjBb7T0bp08yLg6OmZ2aHAmIpu+8BGy1l3I3JIVRo48APTAD
mFiNqingg0BJNi37LXWwR9jKUzYob3JYYtzA5AejBM5ZVsVrA5nUz1QoIAwXOR1hZ8qMKcHg2S9T
jIp08YGQ2jsQOkos6qqfqk9xUV3pNuryCumkM5lc1j18CUA0fXSMkr1dG9eNsBFqhW/zojwrL20N
jRKOyIvSszfzmN4XDc5BhOBxad0OFkBHNX2fIrNeJbl+5RI3ilqRG2yIBP1gx9qgJxCsz+N8M3Yk
gTceZ2trTzdF1FmrDg/IjgaXbHeMAGu17B2qLdjYBUnDgQhTb82xKFbgV8DsmNSr0Epxc6bX6P10
BrM5l9dE3rOWAO63KmIn22YRlFRUMhnrdkKM2+sKMLpvsmjc0lvtLfZzq9boEjQ+qbXrQzTzn8pI
caKjLubiPhWWggeEUEXevmEORoNydhgTKhXLfRfoD8Z4OMUdyDmjEJ0DKbMT3lO7cBmLvHIUROt0
xomphRuAEdrJgY0TcFsh58B7sqlNWR2LWU/uGCN8asmNxSnjPWWQv7ikAThLE2yLUvctVhX31ivl
3gBkW7dhj3SBuUiraXdKz/Hbq9JYj+FcYsTBgIvWvfEdwX5LlB4IBN5LQwzHEQnsLb8BjLFA1C0x
5eNlOaHrd3tZ38IjfxFstM6cTB+Q2cRvtUa1MJuTimpOu1AwHTN4Q4dRKJYWOF7X79o+bHc68rub
xm5y4kOd8jbTUfrVWkLqtlnfVm636jpb8eeeyXSUWLvRxlUNs4BrGbEkwQ0T8jAvDBSjHYOClPm1
lSCuY3nGLCMJ7UM3qc9jWAdNLD+5E14go1QnCKjg8CPTo+odTWWvKJ58ylIpER024Spxu3I71lX2
OTMsscvRihGc7h4yGY+7gZnJuu2W4OqWoYcP2LG9koYWnseILI7uMF0IWj9SBtigOlXCJ7MY2g1J
lYBV9RIsvjsT+6thusDgM6+/HMP/3keL0/NX91H5P/y3tnxuX3+aQr189bc7iR2YZixmuCUlziIW
6M8WnCWYS/fN3UNgLnkjbHa/3UkWf8MyFxAngLrvPXbGb1xw7hJTArrOQfz/T1pwNsg/3Ekc9My6
bcfSuJV0Q13+/sOG3BstpSafOr5QMlcHNclyxuVc39vLwmb4srvpmq5FYTkp7HSibNnvhLIR6R2S
+5RybNkAlcsyqGxA6kEPXpZESC7ZF/Vfl0cRhDFWSWMOw7r2m69rJgMSACCqL/snmsiWZVT3ZTPl
duQQtBbjK79UME34czSnt0WVD3ecqKke5JlKxrBG5BrG+zTe1HUOmweX1w6TN7GxVu98KjXSOv0J
JNmnuvBcBlFWPU+BWXIWBYpoyiADfX9pZEP9aBRN+qhYtbVjBQ8ySxvykPNPi1w/d9PkyByXmNgi
nIsocBM7DLxKB7amFgEVZ48OxykuHLscrgvdRolHPLaJILkcdr0SWtwijfukU47P5Mt71ewPbW+P
vuMmlsOwMneuFc2tZrjYRbKDsj9/LnTFQPxsTqIMJpVRnI5Fykr59GPWQk7uDka3tbiOFLHCTzQ8
Is3VNNpMOnYzJeq5XNPks5pjzTbMQ43zwphnD6g0HRkRt220dSgXrkQ7pE+GV4orzxEO4Sm2xhUi
zPi2kPWFZ4haXlYK7+ZlqUQD9kOhAumPwqpv9uBKe/qORE8fs1zot6PX5z2lcs+QW5Zqku9Uo+wc
DGNQn/cN1vfxUDiJKd+wSkZvHk6ZLXLrEDl1XKEf9BAFCoVQkEJBTZO5iXiIDa1uTzj5vMDmPP73
5PriVTLQ9fz65DpUZBj8jCG8fOm3YwumigefDUsSS/qvM8APpbRFbD0nFj8kYPks6L8dWzCEeRK6
wzGi6lTgHCbfJofObyZcoa/fjBL9Hw4OF9HLn2IllnWgEpF3YZcy2eRBa/n+1HLwtZOOPrWnSWET
Xvt6rzXMnwHBsxSJy1Ni2kfW3vGFbbVbPgnWVTNlLMYj9doIzeus7d8qtW7AncX4EYaz2NE2UHbP
MfsFyoCCudTO3VLDdOlABzfHF9AT5yq4U9/oiwsED5sQv6KIlQ3IrysKkDtnAtA1dgFc/zeXwRVL
cjY15T7rq1WMrZ4u0thbbvwJ0X0AdvGK1JGLHt8MxoSLcSl4PXs8x2/EJ1vD0RTdWUi8FV7ROm/l
i5d0x5A5CTbOJyPKt0PXHcrQZi3onQ1mA1YtvvAqxi8z1t+4vuhRihoV/qFRv3dMWlV0/x5lroJB
NdXSCzKP10NPwSXmVawOj14iLuO4P0ZyCgaGYiYCXJwP4Mxp9713gZUD1Ivs8VL0h9lzn0PCoPEZ
36fpsFeEtxoscR1HM51wuirq2bfr9mYSE4uMMTlFlrMDdLPSUvvOEsVunsR14XYvpT5Sq5UXqA/O
B7vYkS1+KNpp1zds1iDfOWl9wcWFwtnbG5F57cRO7TNG3XVOyWAjl8esdxRfmxqYY9mzUZnXXm0H
cRKy8ACA3CvdeaQXqzkagCiiinaU69Qb95oafjIXwIhnrO1ysSIjBg8X20Ecqk3gFM0xcXOJ4aTB
GUOq06pK7GeHcBGIbePWrS3K4rG+13VGZ4UcX0rLhqPWtrhN1mLy5MzAwm3THQqPeN9VbHxO5jxD
EknR6RtbIlBZ82iSn/5S2y9FftX0+XJaXmdVVx9KQtQDsTQFWq4ZRxTHw2qYIL/kI6wWD4HGCnlD
eq1rOqoQUPX4LHZpieOW/TDJ4ksjUupE4WhLc4I/u1l3S8PSL60LZi5iBOhmEnNqVoRJEcFg2Nlm
Xpqeqm6Yv9IHsUeFk2Izw07pkRJ3QqmVvsulefIU/Vahm6pcY0WVe5p1a2PSbcGekauMJsakFWMH
dmSacq8gWUmP7dKy8W9p3mr83wb9XLL0dVXxSS6NHsvgDvU1zd+8tIFpbb5E2ON8dWkRa4HvVeDy
Z6yMRWBMXz34cf5g9kUwLE1mprtvUe09lZN+B1T4jefPXLRSoWIuLapR03Uy1KlXVgmti5U5voRa
29X0tqTLnAZ6XVZan8xxeu8d9ZDSC5tVnGxGBSsLXXIyI2Yv8uZiovLZFEsrrS9NdUV3XdYxcZhs
KNd6PBir3gQGR87gAylGvMtN8apULkvLEbevw75jk2bjPlSge5L+FnjzwFKBHSYy9FOiOi8LeHI0
Eca1Y8HvrWPTZhEL78Q5i95WYRGCo6hmZNUY+jas9IcOwwhJbg6rchbYUS/83k4epsjgmyvm5yRs
ipXNRoOxwIvStys4jFMwhip+zfDeoJHCAC34Bj0DCSwLzAr0AEoV/O62vo2lUazUlGhjHH3oNMPw
wWDgTeBN6PD7ZWxQPTS+50k+okk2sdvlY9kCGuHpGe+Fqo/bIYyID8Ork2QJDO2i2eMNsnluw6F2
xWksmFVO4BncwtjLWL2IqdhKVT100sXrpnienyjTYjcfz7NYvZFRd2aV8a02OSqRKHjV2pTsCVMa
K3tUzhP2xuigsjsotsz2itpZ5UAB+ps4zspNK0UUB0oVmv7QdGqgEG27N+mpGQebfqm6yhYrI5uL
EnZkKQoyr3r9QGbWVb3ASxxtzK8Sck2Cf2uRr7XILyVDN1CiN+1z+TkRn3822PteO0SCj+OiSHds
yhJKjj+qEeM3RENsEEnzoVFaVpzfqhHnN4iP1Aben1/1ZzViw+dZqgiKlC8RQP9gj/nXsZ7rQDkn
V3T5puyBvi9GwM2qbhq2M7jB+8YNcf3/Xq3+rUJ3+Q5/ljuutdDQVRc7qql79GhfBosfmjQaf7se
a0M7kYzityqhLAm7n9dh2H0oBi+/fseP/MTvX8lfH+cHDRRFQY0gx2Ifu6B/2nPpvP76ARYH/C9f
yaJC//BKIvZp0PF5JfrocIDfOaxTmFx4ClrLYc2iOhDDY93v+uSyA3qsJW80eFF0qVdXXYlMCaBq
c2ZbEfqVEiX8VZ/eyCJejWSO/PqZakyEf/lM+cX6+EyNRAk72S7vBXxmFotNfd/z0a808yS5P0LY
c8n07ihsrPm/rv37qfC3P/Nl7vyXJ6ABH1/iqEyqnB9q3NKNtG5QnekE9xuujea1+XmGVo6tS202
deAhFcNN67qHdqQA6OW1lkub7ouotEFV5qC1qIn1Gh0n+ZHqQTIFa7d58aAXxkGGKpNmXUm1u9Eo
YH1nXuqyYev8klyN1m73NTc/NsON1k2roZu28XwabHIyyN1ZRK+9DTR89C4LUoZA4YZYL0HkROIW
NdWRsFQS9+zVgLhfJ8kD0n/gzCxR0nqVWbfUGM3KZrMyow9NJo2Qiv7cUYs1yUdT8yBShrgktzey
PNM68woEXkrAwICW/66wcr82ZmNdebedaa+g+RFQzhrGSiITF0ZDYKTLlqjK8scOj0RRwFjxLFJC
ssj8Svf/25/Qoqz48BNaJIPfffB/DDKRiSfSbhTzSd0au3A/n3f3xhaz6En42nm3a4J2TbZoMG2M
4NAeAN+txkdlTxG/Vbf0J5v0+Ovf2eXD86tjYumaPny4zJyat1h+ZSFKQ+At5apFq7Zp1K/N89++
8J/9Zn48jn448NykmPM45nEUCHu342sTBWiQER4wG/n1K9K+f4u/nkgfPwQ/jqd4/a0BWP0UGwHp
USNCI4SRvhSMOILohA751w/4sxMQEhYzMcCgSMN/OAELRCOOkxv6SaLBKueXQbn89QP87AD8+AA/
vHesWpgMRbp+EsNqEZlIJRBj9h9exX96kB9OWW/0bNJZeRBvOJubQ2ff6vbTr1/Hz66kj6/jh+Nx
4q5u28LSTwRuo65DCGJfe+nF0kx8eaD/9oz5mHxuK1G9d/9r+c6fq3pqqcy7//P9H8XXP0dv1eJp
+O4P67LDlH/Vv7XT9Zvoc7706wdi+Zf/r3/5uwL6dqpxSTy/Fkm5SkTXJp87ndnKl0fYv/7v//l7
iAZlzK9HNcfn7u1npRFf+MegBlk16UygY5bMC9P+WBrpv6HTYq4Li5DN58f5MpHaLDyhvi23y0Iw
/DiooZ7itrH+S6WRpxPPbekg4RwwLt+fSKKXfVPYkzyp1WUbmespdVYf3pTLv5YsPNMfzjzm48yB
CA9HV06y+/ePgEojM3qn70/CTEGaf1JUMpuuhLnTQmDMF0Jb//rx8Jn8h0dcntGHU3bBDSRMkXu8
nhBa3Qmdsk8+jl6w56nElWwr9zB0SEHtjEQ8YW/sFNlUE45EJ3ZFB/09Ku2nkUpvT2Ir3Qa6kpUm
KsM33PjcqlCOuXoW1K36OijZuzcqD0tqfaXpJitC1oZp1E4Qq5DOGHrMdgh2uF9ESQRjw96KKU82
luUYm4h4kG04jSXQqQSOQovko0SCwyI0uVGkG9R9cu0y/AKJWflOMpwrTchPKQVNELrM6WW3Mic0
4ra8CtF3w8M3dlWlXQ4xlYOLrlpdQrrT6IzQLb83lLsWTY8/lE/DbFyOTrwbEMWutU5skw4pVO0e
4sQayV+sJN76ViCpn44V4Mgbp2MBwMyfifdNhTxmZ1PfpBAVdg2Ymu5q/lLw9EU7Vqece7wjSAU4
7czEXoBnJ+2keclU99y20cGYRFM5yX7MJNjbEHBGdjHN9j3rTdRMTJMx0hubVk8+gwN9zVF0kfJo
HsfaPIS6sRqy+rwj8gpY0H4ykkt1boIyhDA/Tudssc97l4THbi7UILLkmRjU+wY1v2lWi4ZtvrNy
ahGylbOLpC8vy6xDySwvsjk7qKCe/bG2WcR16OYgsyFuhjqIJitfi9S5g73Rwo5Vo41e1P2+72WH
YEVHBJk003k+VdZGuPpZXjD9kCczdq9FD7JBi/EYxHG70cAVhHly2ZfKjRzKTUx8kl8tmpbEA1bQ
vTox+BjNTq/0SK69vuj9eNRAoSxV1HTV9RUjeOp+W5pb2Q4bFYpoB4y+0FSiraubuTQvi7Ah435E
uNPl2XA9TvE15qh9SzKoW7sPoEOhq1kt+AWF+zpp30tj4LfJQ42DeXymQsQUDLhheFPJKCsBlTQm
HDJOMOA2gKAMIyHiRkK1iy4B9h5NK0WLXGxH1VoTZx/0Y3gmRAXVH9zM3C3ckQv8HCtdKnvVsK8m
N2KMlDAQM8xww9r+k0kmsc4nBIUfRN7SyqddJnEBtDlLbeYlvjEph0zMt2w7EEjkHUOm6iYlzJ7J
Jr/WbPPBwOjPXp8+p457rIhk8+ETZIEU7YSyTrIADwd39+WY+W/fetu3anHkie9vuf+fLz2Ti/CX
lx5WQ6CG81+vy+Ur/7j1tN8sllUWPT+2ezKaPgwESD/UADex1fxGg/9zIMCxtBi4f6f2cld8GwjY
v1FrWugQNfR5uPj/0VaVEue7O4LvhEcRxI5tY39kGfGjmcgLlcqOXBdICvNaXINwVFod7Uc+lvcJ
Prs1+U6aL3TkGHnmwBG0un1jaSDVVa6RopAHSBYGQmc47p3a76IqWpPCaSFq4Z6oyj7dLPq41Elf
ZNiOrCxZFgwlUop8YcQ4Cy1GqSfvMm6KO2uhyTTSmEgkhIyTMfeOuipQk3tgKLcFRczJ0UIlqEZN
kvkL/UMlPuhQ5PF9aKJpzTzvys260Wca9qYpbb+JdEXeAs7cUZWcpfU4bdSxXCtivG401E1Vne8J
b7oYMIqQwrS1VJGSIooTxFni8BgGtlN1FBbI4KgzthnAgSCMxOeJsTWXaDSsnXlqAyMJt1HS3CCc
2EAxBdkCZ0K0bbIfcudJWwIN5SgvhoWg4c4Q24BtcEKgWIYDuxqzPia1fJEUzddhpE07S9F4a/pk
OMsT4KiFFV3gajh4bobuOmeH3CmvaZozcWxIK4mqZCtnSdh56JCGM2QmRy3s5X42Nn3O6jgC/G6Q
yEeEJFOJzrhmzI5q51V3q3eHb9eDYOZbgS2LNfEcg6lFG+QkkM+6VUpgrU8mj8YkXPdZbdPx5ibQ
sklAKvWuafmry6bQjs2Yjmu10WpQT5VYUbbpW8yTt+YM1C0bvJWrWHdYq71DM6TsWBil2014gcpy
YBWVbQDanImqu5Qht1aOAlKWm4plLbHpyb1nCnNbUokEoWCI4uXNZk6c49RMDwzmN2Y5PJlygmpj
DNeDULg8ZvnGI49IffO3wWm0E6IuGnVtukxHF4lVFh89tt7ng9G+QPdz/K7VdMbSFDyxUjjrxmGT
vZ5K0azVeWMtBRLz2/oiGhTnUC/l0/ilknK+VFVGzaCB2LRX7hZ5GCwDrIqzaetxt2yOJ8tA5BW2
j54JAcycSuqfmodg9M+KYdfKiVQii7fYBY+qFPF8Z9SV5ps6Czijdm7cxj7rtOktj5tsRQLKdR7G
0Zk9D+u5GC50iHiaB4Iks0H2lyJ+TefaY5fjvNIhRtRqIKKsAVJCpYmrrql4i9tjSBWycvDrHiqn
RQ/GcqrJiCLDpcpvuNv72jjxFSP2NFSk0ybVwve8Di9zEEMrs+hUdhE9fp6eZjqc87NGB/s7q3az
i/oZNPCAnq48yFRn8x/qjynyZtKau+48NhX1aDCvelPVMLutVGIe88Elj0jLY4Ss/95OXybWJiOT
X9xO8bPonn9yM/FVH24myCMIvtB3qmBU6Js/jKrVxeuCyBSih7vgtn+/mb4w401Q8sv1RGO2tGq/
30y4cXSUQ/ZidP3dRf+tMf29O6Kn/dvJjfXXmRUkCZ4EN6TFop7QxR+6l+XB67zJsaI6KSBeFkaa
KT+B/sCW1yinOqZDEAQgZTko3HbCCzYh+QYXK1hWum9Vv2QjebeUeqCONOZtaM5JtAYFyTpw5+b9
xu7CNerznZT8LxZRZhzFCqLNo7DgISeUWQZhUmJsnmMnPU5d/+ak8VqyiyWXHO+NVnPsmZ/RTW2j
yYMHKqosUJKi36V1u2s970wQ1VaxdJyBWaHFi4FJDHCfqjuHlk/qcQ+t0UwYWerPOeNyXVUfWHJb
GycM+6BGhLpttTwi65R0ONMWBxb3w8YN67NOJxbOSNdZnN6EA+vQ0TDkeqiBXpPX4Au33ki7UKEP
YjIyHNQCsyv5YJZa6XO+nTwjf8VhUm8nndlOEmGxVabwts0rPuYky6qlJJ9VpMfMhAmWRHqGQaPO
g7h2mJCO1YTA1V3jHznEVkf4n8zvYHwqhwIkFHQlItzZFZaud0DexCbU6o5eqd82cb/Vu/GKPk9Z
90smGzFIrLJcvB5LRqBeXpH3Ufim6z2mqXY9iZpzKawIpsiNAqipcTsXyWMGwU7mnOeJS6tiJMAg
YROmjfq+UEd36TyaKz3ppzWGIlRSoQEFNr6PU55/hB0SdQUyJhuqVG+T0laXhrkuBEKLNEMhkK9k
hG00EeRudJpN9cHjqAyuJ8DuVDTk2EzF9djiuq3cmmbBADIVYXlpyg443+SRAIvSPshxJ600YNrb
oupPVeXeW1rIz13gpNTGhvCO+lHrk3Mync/bBFKYEmmkx9hcjKaOicQTsGER5BLT0dXb0KguSpBp
DWIsShaWfJFILtS0eiSMJ9k0OYkrYD6Jmy/pi3iicqBy0PJh12jqpa6LoLZkscu08KyN+r0o67te
GbaVKI9xVW1Me4SDWiQIpMXgweiT6OjyWF256vBA0tqbGNCbpONWJvWEtaYBMm9X8J14VZNzWdGC
B5k33LhZvumgLc4X3XAMlWQzqd4+GsuTZpWX+hDuiKM7Kb2NDGNh9C6lYw8viI5uXulzCx+U+oZf
0CQMoLqH6Jlt3nK+aVlYdYBwviAYj2asUIf3OBuz1VgYzuLf5qOaiZeRPausXOQYY7+vlCYNwt7z
tlpp7WMNOtoMrbLFugT2Hjr9uCWEkHJ1NMIAS5PceIpLw03mSTTG3aEKs5QVuvnaw7XZ9HH2WhnD
AwLBz7Mj0zXIahBHhryc+pQZQGKzoO7sbs1xNBgBMXhA0+CYdWecPYtdDvR8MjZoFsqi21slTeTG
6GvbusMe7LrbGD071EDEC5FsSvwrztjOiIgxra/dUjHRdg+64e4QL03wTQ300BdKWUz9jacCcr2R
XqsYZ/3YV2fSKvP4AaeePpyyrt5VEcVfndK9V2ZmbpIE6l2DO0dro2sRGni5s/FgmmW/aZUW0Yhi
n1mEyawsMnDx8tifm6oSDANsHMyp+ZApOP9icm58TZ3tg1Hxy5yVLqslE5PcZFVPdWg+x2mrrzqX
DYkxN+9oNwZStSuGCCUJUaqKW6zt0CZP2XicarEaEy/dZLVyNMv2Sgn7s8KtnoZEvs/053JksS40
JJtRTUqUMMYDOYKWKjHrOvVzAujQTkLpdzrmHYO9LFWuvFH19CIUUAbT6TGP9fdZU/kukfWeDQWb
+2SlzAd9GtOVaZHtGbXXGeZFX41VxFZQKM/y2DmqWQ5hZayeZTTvY8MghlIZ4ZgnMxEhenFhO9m8
QupMJ6IoVzo35kpCC2YI0x9ndWJiNYYB70K9c0pgcoLozy0BRJztSPodL3HgF6LVItDutstWsxXd
6y3BPq6Zhoix6KnczJM8ODIHL/N2xuyhO8GUsTIQXgXSZcxUjLVco8g/r138AESlIvLQnFMiy2Of
O1gacKB7wKpFIajNumfbk9Mat97NROdDBUl3FnpcIFba34U9zsNelvdVXh1SJeM59vND33jxhk+d
ye8AGm3UuUrQVt2b8Lw7DuiNWrPvK+LO1yNjZ6TVXTMAA0icMcA3vqefuxyQC3lW9ZJw0ZG2ql6Y
KmmlFp+7oTRDdG9aG1hqCyV54EroZOTrFlKQOMv2njUtEbhlkLp6sxVWIoPEFKcs6S+pRDal3n0a
ChQyWUNp3ev8AvbmuM7UYoB06jYrLwPEiDMvDhxalZWdDYSXK9rWZiK573hDAxHnJ7UWqe863aEn
LAHStXdwxHiXQ3QlMpdLkCNroyRztFWkBufSswMiYdBR8Uk7izQdHweee0Ug1OtKlVA0HVPZgIeL
ZNMmhKhs7E0zuYz7lLFvRcJiyUyNQ44DzpK7udD5SFjupd4OM7oopCx2NX5mPXoPHg67gfN5No3P
o61uaoHxNIuIN6/tVQdAIyzqB7Vyd4bZ3kiGbkaqkPw6ZeQ6xGd6K5+jIt/2jv7mZfMBosXVrAGY
8jr1pjSXQ1yx0I7B5v637P5adjNj/0XZnby17c/Kbr7qj7IbpztiDsRtrvW78vSPshtXmMWygwoT
FhVswz/KbsP7DX2967gI4Bn6Wh7f8NtAyPsNZQirC4dRuU5AvPdPZPY/sX7hdEdniZPMVMHQfSnL
PywNZiMuYr1K1JPhqogHihkKq/ZURa8wnmYLPUFrl+cwgBfOlKefy5r/3urOydbKU9/UgOij67wn
G1bMpDIrkBSy+KFsrS3kqmujdI818XO+cB4120QCP4JYcrKzznJAoQqGpXrU39VjeYtmgOQlT82D
BnzvCgjoI6Qlzlr9zMJmWWjN8wydXUvnB91UCBIfO0rRck3srBNkc7ITLHT8tJwftMjZyTiDG511
y7T/MS3Ku9mtzr20eYD2U2A40d8VTr2m7T9lWkEqbm9tSKLbzM58mXjUmLyybe2B8qW0WrlJZ8P+
58ZzQrnv0DlSB7skzJpbp1E2rRhc6lr3UyNpTGpA1fu5zzQfVPZZquZ4hKSygxDOmCZpQ7T3hFWb
417XBl/W9rWs+2vwIO1dbk3Pec1UxsZjE8XqvVpYZ4RQFUGtjkcgvhbyR0dZW2m56wasP2Pfn5mm
2NsepuMmtA6T9kpO9lMU9neTaxHzZmL+pA94ylSBgL4xjhBN3wyHEYxnaXdffA5S/b/snddyG0mW
hl+lY+9LUd5c7EYsPL2nSN1UQCRV3vt6+v2SppsGUo8G7AhsxHAuZkaUCkAi8+Qxv9FbYL/uoq48
D0B+a9JkG1ZhNSxtu5vn+IA0FWvmebE+6wYvRIsFsfm2PMbHS/HnrhVmy9pgfnJQZ8GA8Ugu13uZ
jUNDbTnoxKo1NsdFJpfkbY/c/eqRxx+3RbcX1oZaE6MF079/ZP0n6IjM6Dj5M8+no5/rzlHSFDRl
EA1IhXqAJHQENB2OOMa2/K8O32fEBkyhOuBExQ/R+yR1D2eDUCawhEaBZ0Tn1pgPB5g6HUu+ak9r
jBAQfSDXlPybuNdvU6F50PbtBQ0aNAWEHoJeGPchAgmkDA9jTUe9RTrBM5FDQK7wSBaqClGlHpRC
ZyEUigu60Z72jxoMTrTS/fLWjox6oUl6jLajfTvUajTJdfzY4d/eMzCh6Y/6LDuHuiEVmg+yUH+I
PenYu41bfGe8fbRn73WUIgwUI1SMvGmTHphpugyz/Ay/Q4yP0ZjIdbglJqoTGJfDn2Ze5cnmVzfn
IjD4E1vpvnpjcRagXDHoUnXYVbepYYB/HqTsAOrMGMx4VD+RcfiUmGrRtyEll/xqGpd9O2k6vnGs
2c+hPHp7ke8fjLgeAcLc73FBQiqvnMbgQuUFQPby7j/3yuO9YvzyXrlmIN9suljEP3u5WBQbuzMR
sSH8gDx8LaGCcSCDKebkBuSup9H7y6RB/4JcGcpWCKkIYbPXRAgNHxhdxdNFE2N28at3/Ztf9nPe
zxmEGgt9f643hIexnHzbzelliDllmTbHI7kJcVYEe8r35Knf99O2kcoCvJqyM88AR0nXCjQa8m0a
L/n2dXAtweqMwfdxNU/WFLHKBUPbCU2EKZ6nKxIyAsk8WVrzcp5OjH19oc3VlTv9O1wLSISPb4Qp
DZ6IiCyrKri4t29EYbxRmKGeH8uN4VyhK4ZAQ4KeyLhiGGQwM6jTRt/DMHy8CFX4z4qpwFGwLe82
z0KQcjSUDhQroT1hlUZ/6g/auTZkLRns4KFR0UZhpX1r+8K06ecWbUuHNtNnrY5mghlJMbCgGEhB
kOeZOs+6GLMIW/JgqiHzld4AgYYRao+lPKvSOyPWu2NLz+MTvSGXnyp5FA+LzO01GLoNVlQVPiRW
0GXaidwqRnTYxuFJWUfdBK3Ufuo7p5oiPxhVfp8W3sKt5EsLB/IUaxdDMrOlSqeDGQ9CI9wqTkK9
ney5A4B+LcLjtSqVWTwUP3wUJJieHytq/qPR2gto28Ds9DK8tSLmCY4XNUeSlZdg9w1zPw4cEgks
d8dRBf4kSdoPPaxorLsgs9O6yOdJC2kviCUDfQSB83OOq7QC4a/a7QzZK3VZp9bVoEg3MY41syz0
GfbUtady1wNWYHu6yVwlBZojFssjahwdIrO8KvUa5UnTTv3zilnAvLGUkpxD7m/0OBhYRTUju4nA
r+tSSaeEkU5h1gAKJHgtr3LLDYCSRxb+KxSdzlG3hC20aQjcLfLLb7eY0TPNhj+QHbuqt49YSz+N
vMKd5J1OHWhFzrxoXQEgMEsSOVs+8qwSA03WBnMVmmnWcOy4kH4xMvuG8L+zqFQE3+s6X7j2+M0y
XACLLveqO/Zfi5j2hVoWUHerUJv1nUsd51PcG7jg0lddQiSYhi5of8RByROd1ahR/KjqUgcxOoGX
Kahz6AAl6SqkO5dRr+Cyls+7zjtUmcbQQWAUBj8bIGRYzTg8x13vaMvCCzGT07wrDwNFKqOjprfR
JLPzpRzxBVtOQWtGDi9+vbTCmvVVGHmcvOKnTesZW20EV9/rWUt9a5UtsqPHhafdGi5lf+Nls7Gy
VnrSMFp3aUWYZT6xyEmMGEaIoacDaveICzDnOswC+0YOMBdlGPUDoZ8FONIjNTPPZHe8M7ziW4IT
FMSGIj/49Rt/G3U+vu93UccZ1c7JE7c8lluwskQOLJ9LOaUp7c+NjJRTLzwKGEqc/wAAdBb3F7Ve
xsRwU63Hv3q5kpEL1RArAn1rG5z8d2wAg7yQjuXLsORlxKKhJGpAzHN0S0GUmHvsr1rPRnKYS02A
+LmQkY7+nSuZzuDbXS6ihiOmPAD2bZRLH0/Bq1oPg5w4j/DNOlE1A6MncSEAbDGbuzLE4FzHnlIW
+njgyzncinPt1hgwuEJFD9zW9zqJLyyhr6fK6qypaxT3kN5rJHmvQoovEpp8pVDnC4p25grJvkhT
vuFSjaO4ipxfUhR7RQuRZwxOtFrawxDkCAbLRBFCgKBZCox76TZZlb1KUQscO2lmIf1Vd2Y2zdAT
hPHlTuOgO1e1GlYgkoNGlEJWlBS0uqVLScgSukKgEEWSheeaB3F4Q4j+1gktw9AIzyuhboiaKiKA
xkEio3uIp9VyEEqIcq6f+EIbEfPrgxGEXJs2B3bl3udOdxAAUVWFqqIu9BW91D3qhOIiUIPbDglG
MnllDWxACIbYhIzyOkCu0WNyRHmnFVOU6696JB0boe2YIWURRfbRIFQfFT6DiwxkMObrSuhCtm4U
zDuhFekL1cgU+UhX6EiWdnI10NYDtfgtEUqTEZKTvV0s60cNSswfJy2ylDbylJSBJ5GKXqWBcGUj
FCyH0bkOTWfRIG2J8MlSFlqXFaKXqVC/bJHBxLGTogBdzA6BzMA3UMoUmpmFE10XQkUziuobA1lN
xFu4M4XQJoKbqqJ5h34EUsGnWEsR5WTSUU8VZDorlxqkQrhTRcBTFkqedNqc/c5s8jlE9HscNS88
d1iipdbPkyzZHzL1Eaf30Ou5qC4AJtZf+bNVmnFL661tM1QLqokf1qfMqOJDp08uzcNMiVDFxhPH
pHcyQzrNp31Z/aBVsAqtEv8tmoDk2R5mHNGR0hTzPGto+EZtO2ml6kJpyyVa07f6oCwdD444MqUM
8HBNqzNSqzRNIHH4wwLy4EKvx3g6QmMffIieOpo89BxKUhK87sLErefMGJaqlx1Ehr6IHeBsEXIY
etTth34dTv1yOC4d1l53D2ogNVxogTXccceUX/20FqR6B2dNExmwczVHIs2b2GUinck0T86Rk6KU
U/oATq28iCQfFT/V/RF5eAaReiMxx7xTLqx9K+2vK7P8XkdYzOZZdmZ5zlLyozMF2IuNUdOUae4s
72H3a1aLwoxcLmyjPla0WOfD5fPCAhag9SHOfL0+9129Q77DGqchLoPTPEhmNURezRzWvanOsBH9
Zrv2XHaGK75oLsJQ2hsC6TAt/KUfSXupk5GaIjcbYmsmuaswGbAJQiGuB8M56OO+ho+QUpQz3xg8
LI77RZvY4BeC8NAKiogphTpxemvZMRNK8oQv5LoWto19IxydSC0adHHR6otSazYk1cwPnJskFOlD
6R+2aEfMGGQ5iz4x4QxG6cop5GPywrsKGKGMC9rQW1CIdUewMI8Qr9lDEBxehooWnNp1fLe4FksQ
fqryrinbE3AksyrUL+XAYwwxlIdjZJlIC6VzPUIJVmZiWyCjR9ooXxiN+1CYwuO0TfZq5A0g+LYr
GlP9VCrAhmrJqSuPsLvJf8IASJQdIBWoN0edlR702CRNkgidSc++xbZoAtZReEkz85aXjtWcMnr6
Kqv5nqv3CzQurHkUxsS/PpUmuZmda41TT4OxxMuOho4XrgQxMg/aY9ccLxntTAq1PnPVZr8s2olZ
0IPr6dOQWC9Ms5xruA4y/mlnFcp2RGFt4Rj1gZyOCzulU+QA3Chy+XvsVirzl+abBh952tH53FMs
71QRpFjPO1NG+9Cxh3Y64gq2MMduXzYjZGDAw0S5RztPCgRx2mhQBexPtVhaUIKcqo79A605hn85
NOB6XpW2xPgKTYxOqk+GOj+tLfuqDxp/mhgwnfvEcOZ9qMY3EWKdMy9vf4RVc4Bx1HXcpHSXskPf
ARLalMF5M6rMiMsfhocDcaPkx37fL4pwvIoUdUQFPromAs+r1DgrJReNZtm5lczya1/0B/C4wBE0
iQU6h96RQqMdQqrfGyceWFG9rgnj+rDnFqBymD7jdbRCnC66RmivA8DDDH4hjXU3tXt7HsvBHhN4
BJe7ZJz1mX+vQ++fDW3Wi9Jo7YzjiVImGsWT5c08VVkwFgyhQRc/rLqNUOqIjhAfIlyCn56BJ/ua
hepplqjn4B4QVsp0TEuqO+ryGdDlfWywTiqzZ0BB/Cot3AJSI73qB+k677PLOKAl1aXaLI+hmtug
4dsI0z19tMHU5tosbsLmrGRgjfOaFa504ZBnum2CxJCCPtjf5LLqW+YGtTwUStgAqmng9woq/10y
i5iJog8IcJwoF8nkxli0p8V0nCRTZ315Xh1h2jTPqOqDQ2PZzfxVtvD3DbjlR/7yPwnu0zCDBf9V
ghuv0w2cDp1/9WeCC7oVR140e2lyPMlo/DnMUL/QMLU1hDc0jSqV3POl52R/EX9ViPgAOEW6g17Q
yzCDBBdMrBiQ6Cr9G/ijv9FzUmzRVfqrQhY7iALZRsmOpBkZ8feEV91OwpKh4HBi1155aoUANwIl
t26yWFf3hy6KbgelthY29MUj8IPuBBUaH8RhO15bTldf+HIWL8cRm1N66u7ckmraRkHhz23ujlgo
VbdC4coQWldaX/PvW/pvM3i13IMZ8D8JBEyvjsWkqv16hQdaBNFdpmGbIoItDyP6QWjnfUt839uH
T4DbrFSHM7B0AxAeOwcdNFw7KsagsbYe3MTab4SCV51J3UEaoepVZl0/7YXSVx/LJxBMMlAgEWHB
LBBIRRhMM1WhUqrVKKaHoxgQhyE2dEqnQ1NNZsU4ekK84tbvPRf1inYaRPl+iAY91nZptKeOTjet
GRmdeop3I0fDftBo5ULP0zMjK9Awk2tpWZveuD96jbbv+9w+sRYfKFJR7UGmcGay7+vLKE71eauq
7spUGI4AQIj2iySHqZG1Z2NJmMxjbkdU4rEHNwxcA1EiUD3nONRAJ7UDqyM1kn8ekEGjHa7AL0bJ
dzZYXb5X+NU+IiLfmC+hohYjxQC2OpwriPv7XjHWFAF8Ycxty1ksXABc7ABCXYK4iT9Aj1FA8ugY
ILwD8EcKj3rsBBAfQXdA9jKwt+AkOxBk0EcuTM06SyxPm0R9v1SxJ1Bp9Ds4pOJZAGr6BGH80wwz
A9mrLPA/wV6OzUEv/A6w5pu7wgHBFF4IkPg9FOpBtFhpclBhmGAI54TK7C5agNTArYnskfBXQJH+
hKxtlWK80GLAEPb0vTBk8IUzwyg8GkzXPGW8sRgxb0jGoJ6Y2Dk4+ELThcHgATxJjuEDg0V8LbGA
YC7CbzCFSNTyu9bhEuFgF4HR/DLDPoIUX4gn5DBnhbdE/SiCXkQAeqeqqAt1USHSZqZYdLP+0OnS
nFOBGO+hQi3QcAmBG8gdHLVpi/WHHv6Ne/8Jxk8TAPCNPw/Gl028Lh8IvO+YeQb/6iUYo9Lm2DiI
aaLtDRWKiPsSjB8HAJpsg3ekrYXD2F/B2PxCN4EIKYtuwBPW8yUYC+924jTkO0vXGMf+1gCApsK7
YMwLYw8m8x4UmpVoHfD7V90Gzy3kgn3MCCDOMKELmm8oDNH4i1Dfktt4NpSxgMgF0yFzj4ISY2tD
6ZAWTtvTpMr2LLgKaAlgvSrcSyopOABOcYQJejehGLyQ5ei+BVaEakaLkIwE28XtVKypmQK7sulN
k0qQHOSv3Uj5Xuk3ToHWtu07On5rJMSONC6w2ZTwO/GZJaJggm4wpG8MQQ07/ZYP2VXrB0Dg6wo3
D9O8LjHsSWFJ1I70FZ+PA9+0TmAFHbWRf8jk81uVMd0IHOsUrNZdTM4/T/hgoOcDc8mocr9Rsttk
kAeU0DQgqTiNTIu4WyEdfTWoeTnHg2mh61CH1FDr8J0IsL+V7HscgY0ZZiGHVR1f4mEbTW3PmBuR
fZ4Fzn1ROaeMXiHEA4bF0CWs527XHdt5S/BO79w6u3ULKL1ZekePiT5LVHrzJu2sVWUlp16OsCay
9fhSf4tVdHDy2M5nnUlZ3eXZXac4IGEQokwGeGG5qo2zQU/wCSnacopI1yFus/uF7h6mHsEmyMvF
AIFOLrt9z3FWnmqcD2OLvHf4APn7Ugs8UI3jTeKNSLdYvEm+JEcumWp31NyqjHQ0TrMmUvnVke/0
P2Ls+GYuETWTXXnalLR2EG75qnvGuV7jgG4H0aXuqT8a1WwpPMU/N5pmoWvNTULdVmVk7dBMF02N
sYvb1OGSweYtPMVooeYNOHoDx1A4LlPwBsZE5orA3GYhWzkTWlteFrVPGRDllA853xoStN2UrAMd
HQCiBR4hZlDBFKzyg8BNiv0xifA6DdF3ovNybsUkqamxaAodn/fRBS0QBcLEpCfPHquQ1JodZ1iQ
rO2RTTxUfIeJmnv4TI8XmVfyqqlNG6tduHJzMdraftCB2bVUdLOrwqU0iCF3tE10R01+Y2PjNbHM
/LusZChsZ+607Pp+0skBhMUSAo3kr+RUCmeSBRFOlrOlSS2pyJDjUXPHd8Tv8Nxt7YckLA4BmbUT
8FH5vHTqPdPDHlht4O54SX+VFZjcqMwX2I3JxNTq71WD7Y9cKpTCYz6eJrQGDvQ0Smc9SaG3F6uO
r82iqPuKs3LZzkup8oNrlsGtT9RaWCibgaEtTDeR00sL8nM20+t81CaISlT+FC1F61TCcoRLrwj8
U63ovduAPlIVs4Umuq+7xzmuumFtNsJ8HFiVt/Itx7vwC1lC/dfoz+RYwl+hCBB3tbhTJ1g8UnnZ
ZlXsoankwr0M+poelazFeOoM2lTp4jOMQPtiKYeaehN1eI4exWkuBKtiHwKPad3JXtOE08gcSlAG
cFgchLUi3SgwGFct71Kurbi6VTEqBtenjapPdpGY7rfICHz9SFZp7kxip2/y/wCxnijpBhObX12X
GaYj6aYLk3/354XpfBEECCoUVQymBZfh5cJEVRDaAXWNpQrhwNcXpo1VII17puYIzmuQ1v+qXvAK
5A/ESE7BnOs3oVhM8d5cmND8hJgO4ycFGzIkvUUJ9frCVFqDbQHH7mQ0/H2qMDqfuDr0nKUxDbNF
a4DIxH/kiMlttMAhZSU3yjLI6xO/oduGxytyV9ABpGmjKftdla+jRr91K3LZtD7qR+XQc/TV6APn
iKRsmPrMniFln4FbjOZmkmBJZJpTHWOMiRuzM0fOwUEy4F4cR1wSdlKDE9X8g6bJ7MOUFpbti/5r
5siTkU42nmTfTeCFmquc+uBU89Kgy+GEN53SClC3eWIbqKWpDfCqCIW5E8D49xjuwvUAfY26mmVO
gzZS9gCAHta1tae5yaUG+IZW4VGlO6LldNnRKIES5y0zs0FthziRteaJkVn7cR2TKfjGlSZJM0RX
v3W+uahaAmlJcTLpHPsUaAwkZWQGu+g47MJFLikuRCyYdKEVw0cqpa9OwpAvG/OZbISHfon9isAN
aU7E3Y9hFW25UVn4ppMspND51nOHGm1zqMOAOM6LM0BKi4QW/mAhU23Qctf68wGYF7YIkEXo7miK
j92YdNPq7leIGguzachE2o66LU6+BwNQOEmm4gE/BiErPB6wU4Sn1ZzJvUt/KDKT60Lfg4uHHE5t
U65ohdUeezKqj/TuKV7Mbjo07YUPYo7/jXg6TchZXaTXDW/DpfqbRoHUT9DMXhqBzNrYyjQDt1y0
fA9hKBHhZDueZQNDVxTqzgMbeHnn3iPrw2DHNC/1zDyXgDROERI/dBISnMawfGgigEuD0j+XmFkY
Ya0jF8CMpC/CS/SQ7pirz1I3OYM2eh+m5bXnkIGZqtFBP4jMVe4qHaArbkmqDG8Ke2Wh6YKjaDHx
yYIIPnQzG1FSMsaIHnq7ilQsFNKmB9gMj8M2jHymmwxnuLxvMtxYHDreh+jAYGQR4z8P/QOwVa9A
vq7gpEqwkCZjP9CexrPuCEbnVTFG59jn2VNdDhlUBwyVcCC3IfCnzSQuswMZvvoh7A5az9VNYFqH
yD6cY+YWTK3AwfRYGcdlkob01/CeWThDys7U1G95WlzYLV+80XlY2I2gQ9x7t5WUmdYaSELa503n
rjoNELLiunsWGd/EYNNP4GMt+pHWKg5sOqVxVNExJAsLC/QXpXFYe9qIL0gleZje869rqdwHFDiT
I3OOBF0OFSQJTigOlmAfkvkQnUvg92npg60e11I0rOvWvPT69jKKkT7v7VMURqGOe/ABMRJCozOQ
rgcbHZ06tub+WC/8oTX3acaSCYp8iXGWBxBjWPO9Dvt6ZcyznDoSrWZtpkr6g9pXR7EsHfVync4R
aUzntD/WGUDNIa+NKT7bA18XyDWA1dZkKLOGHLa7SKwuQzGwVpaAHMgKcUaYdm2czrqGHcif/1Bj
UqXBiN0JhjrWxI6l86KRH6qELaGbSQDB0brKy+K4itGwAPL0kOcU1VK3qMLehHMU63MSYLrdSrjw
5bE8dBWq9lTn22bFDzBOSpkpsJuaOr3V0aBfZBIx2AtsB1HHUkc91Vu5MGhWmTKsCxMxC4fQqEfQ
clApnNIAORpr/6SCwkSKJ7wLA+0C24QOzjHk2Upe0qW6zEdiZaZcKF6hTrMRJrScWWuPNkZu+vsq
H27WBUAUDbm5ksxRmQKHFSZH8DBKg00dVe5ta463ZV2c+5XurbxYWkHcbYQcKh5RdXOR20qCzQnf
ryZlM1sr8eODpin8c76HJXBAonzmOycEuiWI+WSi6tUlSpLXkVp/LQtENOOo+ao7o7xS1E6ZybIK
+q8KmR3ZvjHFlFZIixRImiraXlmFF6mpLcccYVk3Um67qJeZH4WIwjkhjoWMc7TcJLFTr1vzrKv2
R/emCw50XztLSd4Bbl6HUnIVaAlfTVovzTQ7VnNaEXmsVCs5NB8UAv1c6Z3TNjA52jpDJQnXIjLf
MZjHVgBGWQdr4nSHVR6ft466spD2pvTEumVQLtBCPfCzYYT+1ny1ajgmclHvF/Ux/q2T2kAzxGOE
gbJIMIszJ1iqRYkCRBl8VYZxGcdleIivnbLAA+HIGSxp0Q5NtNDqPpyMiqYhUYFBkwGMqMu9fcOx
0U8ysQmbKJnnFNAUNAwM++wBkSr/qEtrXIBQ5jCsr2EGJw7jAhjYdTEOx4ovB1O/4nu2kAdBXbMm
qYSxRPzad+uR9jhc+xN5lMaVW9X6XouaMPM3215DJxqWY9+rxGNb+ESZIc6W3iIxlCM1N/aIRvsm
BXeES/2kxNFxJpW6dh1YORGiLbyJXkkrv9CPQRV7q9SXH7RBfsDd4ztXDvxHZP8HWZoltjVT6axp
Ne+RblY2i/r4rg8iEHaeD/4Lf9/aZYaZeuaN3ycttrh1OO9oyxXIyQDcHZlbSWIsbGJJOIvz73DI
FN09h7uxkqROReqC4jqHSxM0iTKFlHPF8nOLK/FD3of7repZYGz6s7Iyl6FdgZDVrHRBuU8phf0m
s00ma0rR3aQ1voZ9fGHow8yMjavEKagkQtpmY7TX6eaiDGLoKkoCV6dHUi6/RMnmjuB6WtPtmmKj
EU4DszhHXWBBgMNkR6fv5SgV7DwVZ4yRIbVJmxUDkhPLASUcuT7SrE40zMse2DhxP8anecTIygSi
2CPQmps4bwSZuh4xl5jEXbe0AiDS4L2OSXJvyjI/7K3YmmaJNFfwujA6+5arZdF26jkjuwNO7srC
KBblBP8qH2lPhEF81ClctZFyGLj1gRtnX41cuencSHhHWV8rtT/KqH6Qb3awy0JNEek575p2BJaI
Urw3BvulXh71nrfIOzWaNYF95hs5d7RkXjV5ezT2OJOkwfdYN/aLCDfnShsOYd02KzrW9TztzaNE
saEiJgRCiUG3EaCgYuirKIMzII8HTalpCNPQTjSRvAm7JDnVGIHOvNqWJlIHdww7MCToRTUJng38
QpIO07yydBi+5aoCZzcr5fC71ZHD2H1zauWVtnRKbPU8p6oOkwLpoULrQH1YmLNBrI9iV1o6SReS
c7o1h8uI7VG/NGtp3wysZGn62Z5DtkV7Ntdwbhqxegme4Kn/D7BSz29xo0TYnzhe8dvTDJexy2z+
XmTsX/pLL8OaPx/0qFL2S62xeI2aWXOPCplmftHQY4fjjNW6+KHewS7Ne/41AEnnCxNf20ZN5XXT
+M8X2/CuP7yh3/47P3/zr7uxTHiYPb0pSB8X8m8+Px/wr49vfVENHRcz5ecfn2IV/DRk5sefXVgE
0X9+15NW3mPZ/5WV4DmvloKdwPgPchLL+vxR3+8Ek98pqvKE0Xu1u3+2f//JnfBhEVDu+Xe2w9tF
EKYrOuILwE8ff/iobxYBdKHKGlmgAMXO27U1oH1BQ+O3j8TbNWAezKgAyhuOv+KHwcX7NWBUDLpS
4Tf/4CL8zTl++6Z1hDDAZDHb3vymH+MYkHgM0f7RN/0m1v08jvHm3x9h0dTa8pszvwAKeOSOPAVz
Qvbbb06hwwY7igH0ji6CuH+2XARsRjifMjyQ959ehtD5SK98CvZPL/VPHeHf2r1iiigajvpPriFa
oxoQVnRjduIW3rB7hbTmll8cnVwdqDXOVU+7Vxzw16mIqsDiVWkECzHsfzDu/PtHWGb8uuUiQChz
WALIyD+NY+BrkKiznm78f2r7/vuLoG0fx9QvENZozgoRpDdbgHG7gnQe0LTnJGVXN8JTfP1LIvj3
0zHogwryskjXbt4InAZ4CiYKvv9sHPv3N4KgXmx5GoiLgsphyM/p2Pv9QDrGOAishEhSdjMkPAXs
bXaCLSZmePUIwIj4+RAXmZvZMtYPAiW4k4sgBA223AnOFwcpZ0NFxOHx50NijiUZ/B2QkU/hZ/fi
orx9iUYtLr5nboef7ATkvkmC4Xvv6iKIiL7lTtC+WICZEMP7SWDkjkAST2assquBUUBit1sEJAEt
SGqWKgo18fPhOFAP4X5Hnfp0E+3ecXjuImwTGHWkW1QAzS8di/e3A+x8kS7C6XuKnDu7H54aKtss
hf0FfXt0WJ7vSdEJeZM4UUBQGHNsHg1jHtt8O3lTPNc3WywFR4MqSgAegYOIHw7b+6VA6Ye0StnV
Wuq5RbHFItDWtUDSGKg/PC3C+/1AO8SysXagr7ujOYNwNNouSGoWrqJQGgTM6PGH8/9mJ7AIjokC
NySFp1Xa0aUQZI0tl4JqAvVnBbn+d2tABo0slkLZvbMXxdYbAZVc8NSKjrDK+0+P/7bwuKbju9M7
QHm6uraJCNTU1NMGoPKnw/C+N6gYX/CoI2LQOxM/u3pZflAI+P3SWqAJUXpjrLN5KTgT9B9Mneix
oxFB+NFtGRHwNIA+puIu/5MbQpSdjmky+9vVRdi+tDa+aBDe6LE87flN008xC8HK6ilF2700Wtt+
EYS7BewV9CY27wQ6TcgSygTQp7pl9xbhOYnZJjw6XyiXqBMQX3z8+dBkUbE8NxT0IHd2EZ7e2BaL
wD2p03hG9v1pDQQ4+03CJBDaQiSFhtuuxoTt+wsmSSFngbzxaRXeZ40sAgBx7obn/ubuHYfnjvAW
OwHtU0XcCxZM4cefD4uAUB1STZomOg87WUlq21+RcKYtpjE45z0FRj7q2+MgSk3xH64Q8bOrKdNz
D2ib/WB90WTMlEA8Py3F+1YLhwKpI4dOy24vhbZ1kKSqxLMJ8Sb7eSnel9Zkj7oqQ27Rnsq2HYwP
23ei6awxgvxzO3zoPwq4BfrIDhfqjsYHUQtumUKzCBQROhO4x+P/8boELMRtKfSld3QRjO0XQdwU
CmUjX/Xjz4fEiTklSZMN6mRHF+E5t98mPLLbkboAfvScM3xInIAuKExlUDbc1UXYvseEhh7KdvSY
n0EsmxZBkNpl9c86Yzczh6d7fJv9oIHnkdEafC4rP9aV3KeMc4FS7mp4FMa2W4ZHemsMI8FqPJdU
7/cDgzowT9hg7eoafPD7+u1WExUVQB0QKwhEb46OqFWiH4EGxK4GBu0pwd/mNIDiAMOhY5TwtAjv
NwINBvyMAb85T+FzV/NoQRbe8kwA77LouJETfKwl+IWFrNOufnrBx97y0xvkQyp8Tiqqxx8+6tuC
iv4CIRNM066GhOecfrvTQO/AwnX9ud32oaoka1RRWXPQfhELvnv1g771REbTRY0kcFs/n09iaqgJ
JfenZGFXl+LpO9puPwiIAn3Hn5XWyhfBvyF53NVR7QfX5t++J5lXA/RDqOhlaP+hvwCyiXoSmtKu
3pPI5m0bHhnSmjI4b1w+H38+3JPyF37JsREyFfzsbHzY+p4U+CYMmbgsXgAt728KFdkP5pV0Ync0
MggXjO2uSzG2ZvBE6vQcAzfcFCKTIEbu7E7Yvr8gOk3UlILV8rLp3+YMRAYcVjDN3dnIsH1pTZMF
mxkwwM/X5YfwCLFHLNPu9heMrXMGjgPYBBPI309yBhqvYKCZUgo6Kz+/cSj+hRzrTy7u1A/i+0eq
Lg6sjyyf84cKUay//QsvbMiPD3jFBXsktb75m5dD/vD07CfGmPj//7O+T4J0FlR1GdzV6mOO+Oq3
Lznj4ys9//vnj/jxxd+82MvnevnDFe566/LOHx5/MTy/0eN1Anf4f2P+6379nskm5kYvfyZe+7//
6+2bfRUWf/30PNgkJiU4Nn991H/34cn6PitfHrR3/9//9aRwJfbM1g+f4Lvw8PKcV8+mM7r1s6fr
eN3ylVQvz3r1fG7C7Z+Phlf14Ssl3SC7+YSHp3W5/mOabfRJFyXx1i8xe4j/OM7KjevP/bD18+fx
H7OsZPO8POvV+nM9b/38RflQbRKAFpDQrR++jB/S9OU5r974ZxzXVZN8z+L7+uPjlc84sHtJ/lAG
63jD4z/jyO6lw4ZvVKCstl70g4dyw5oL7PH2jw5Sb0MgEFoAWz/7cB1tiGECaPMJj66qh01r8hkH
9DCr/vjf1HuIHzatzGcc0aP1PQH4ZR3+OkaCDb/12hyty2DT0nzGERXPRqppw1sXWOvt3/pDep/d
BZuilwCkfMLzy7uH+5cH/bXuAt2w/cMz3vvLc149+zOO6RGuVRse/RmnlEfXD+XDsOHxn3FSj9f5
pt3yGef0+KFdf8wd8Sf4jCN6Uq4JARsW5TOO6Gm8vnvYkDuKnvXW+/AUdalNyZ1gUG798POA1LEK
7jesjBAu3/r5F+u7kpIgrTdsdwHH+oQXSP+YPKCjvOkFPuOoXqzFC5TpurzfGMjEVPRTPsUsePA2
fYjPOLXiQyw4AXdBdbfpNT7j+IrX2M/WRbPpthIjw09ZpcMmqP44+R5U+abP8RmHWXyOo3X9sOn5
n3GeeX69/mOyLr+vN+UMYpLyGSvFa0wxK9gQrMUQ6bNeoWzGl4f9dUWK5v/2L+CvN9aEYgK//cPp
YWxcmk85zEEVBUPWvLzPVwvzKWc5+4Uh0KMG2BYtlotf2Wlu/fB6jWF6vG6qDUvzKUdXtFk23MPC
5nrrPXP54K83OY2KNub2DyfHD+oNSZuYGWz/9F/Zlmz7rV42vxR53/bxvzZd3/bpt1m8Ic4LVMfW
i37bfN8QfAW88m8evakt++fM/2Oz9qnV/Ld/gX6xePBd/LAu/+f/AAAA//8=</cx:binary>
              </cx:geoCache>
            </cx:geography>
          </cx:layoutPr>
          <cx:valueColors>
            <cx:minColor>
              <a:srgbClr val="FFFF00"/>
            </cx:minColor>
            <cx:midColor>
              <a:srgbClr val="FF0000"/>
            </cx:midColor>
            <cx:maxColor>
              <a:srgbClr val="03770E"/>
            </cx:maxColor>
          </cx:valueColors>
        </cx:series>
        <cx:series layoutId="regionMap" hidden="1" uniqueId="{4668D948-89AD-4DDF-947C-DBDB8B61DB73}" formatIdx="1">
          <cx:tx>
            <cx:txData>
              <cx:f>_xlchart.v5.4</cx:f>
              <cx:v>Sum of Amount</cx:v>
            </cx:txData>
          </cx:tx>
          <cx:dataId val="1"/>
          <cx:layoutPr>
            <cx:geography cultureLanguage="en-US" cultureRegion="IN" attribution="Powered by Bing">
              <cx:geoCache provider="{E9337A44-BEBE-4D9F-B70C-5C5E7DAFC167}">
                <cx:binary>7H1rc9s40u5fSeXzoYcASIDY2tmqASnJV9lxbpN8YSm2QoIkeAPvv/40HSdr0XKWPrWqU6/O0czU
VCI11eJD9OXpRuOfd90/7pLtpnzTqSTV/7jr/nwbVlX+jz/+0HfhVm30iZJ3Zaaz79XJXab+yL5/
l3fbP+7LTSvT4A9sIuuPu3BTVtvu7b/+CVcLttlldrepZJa+q7dlf7vVdVLp37y39603m3slU0/q
qpR3FfrzrbtJ5PesTOXm7e57+M+3fyW5TLdv3KxOq/7tm21ayar/0OfbP9/uXAa/ffPH9NueafYm
AeWr+h6EiXNCObEpsi3+8HLevkmyNHh820CInzB42Tazfn7teqNAcr5GD/ps7u/Lrdbwwx7+/0x+
51fAvfjrP96Du/FejHc/ACD+fPsxldX2/s37alNt9ds3UmcPN6vs3Wz8oR/fP9yZP3bx+9c/J38B
92ryN08gnt7Y//TWLor/AeH3dVVtywMgzE8QwRgjjPYjjNEJxTayLE53EZ6v0X6EJ/IzEJ5IHBnC
N0kN1uYgCHNCmY3JI8JssoaxecIth9uw0HcRnq/RfoQn8jMQnkgcGcJ/JWAa7zcHgJidOKblYIeS
H4v4GcT4BDNsMQoO4Idz+GmlZ2u0H+LpT5qB8VTkyEAGD5NKnWzqQyxldkItk4FDJubDC+Dcccdg
rE0TW4QwcNRPgX6dVvux3nONGXDvkToyxN0sqfUhVjU/wSbHBKKvF9DGgLZDKLcmhnu+RvuRnsjP
QHkicWQIX5ebNDhEeE1OGEeW49CXwmsw7DYxOTXR7nqer9F+hCfyMxCeSBwZwn+pzX12iPDaOSHg
dk3sQH60a6pNyJww5oDuw+qeADxfof0AT+RnADyRODKA32fJJs0OEHo5J2N25DD26JIBx12cwUhb
3LFNa5o/zdZoP8KTXzQD4YnEkSEsxgz5AADzExthYpkvUSAQc9m2RRFk0Ls2erZC+/HdFZ8B767A
kaH7fpO+Oc82RS3TA2DMTrjNbAtb+EekRaaLGJ1gjoED4T9CsQnSr1RuP977LjID9X1iR4Y9MJ+b
ZlsehBxxThCnwH4x9kKMbZ5QZ4zCp+b7VUrtR/z5JWbg/VzoyND+BHlrXR4in7JOsAP5kknYfqoT
yGyIx5BJzUn2/AqV9iM9vcAMnKciR4YymK0KMC7r4QDmnJ5wZiHLRHQ/0BhiMuw4JiRWuy77dVrt
x3rPNWbAvUfqyBC/2JaHcN32CWEP0Rn9YcCn8TcsahM5HIocQIo+pcTm6rMf5R3pGfjufP7IkHUz
qLSNBluPS/oANcgRQA6k5ourGRHLsRmamO3X6rUf6b1XmYH4XrkjQx6s1pvLWuo319+kzg+RXtvg
szFFUKDav7yheEVh5UP2xXeX9/+Bavvxf+lCMx6Bl0SP7CnwtsmbdQYdEP/9xW+hE8jLgCgbLcD4
elbZgqDOtAhUtialrVcptR/555eYgflzoSNDe5G88bIS6NL/PtrQbsIwp1Cq/gE2hzW9S6YBacpH
xtz+4e0nefirVNuP+fNLzMD8udCRYX650Xp7gOjNMk8s6C1y+CPvYj4jXsC8w9uWQyfR23yN9uM8
kZ8B8kTiyBBeQvvVQfhxesIIorYNrWI/XpMlPXaQOTb8gyZFzPka7Ud4Ij8D4YnEkSEMwcgYnieb
g3Ar7IRAoQuqWY9+etooCCy54zjIsqe16leqtR/rfReZAfg+sSND/SbZ3B2kb9A5cfhD8fpH+fK5
5YZWFGYBm4Z/rfun2fd8vfYjPpGfAfZE4shwXiXb9AAOmkD1C5s24hiYst1QDANz7iBoRpoE3rM1
2Q/srvgMXHcFjgzW95u7Elr00uow0bbNoL0bUusfS/RZboVOLD7+A/za+JpE26/TbT/ae64xA/I9
UkeG+2mtvmXJffXfz7Eg5GYOhX7u5yvaOkEUgQfHjz58l1B5jUr7wX52hRlQP5M5MqC/1N82/32Q
wWwjSKzAbr9U1oSmBYdRx6KQcT31y3P12Y/wjvQMdHc+f2TInql8W8pNcgB0MbAg2LHH6OrhNc2a
kX1iQ8plI+g8G18Tw/0azfbj/OwKM7B+JnNseKf9IZw0hdZ+DDEYe2wRnVJiaOxg4JRCdrW7ks9m
6vMCwk+l56D79PNHhuyHbbhRB7DS4IphhVLT/rn3aoot1Kmh8QRBc9kPfmyyjufrtR/jifwMlCcS
R4bzBWzoPMSuDXoCxWfYfmPZv1LhnVQKKDAK70ED4YTknK3Qfnx3xWfAuytwZOhebuIDFKgg0oLy
E2ImUF8Pr2dbcvAJRzaiEG3t2ue5+uzHdkd6BrQ7nz8yZIHGeyO2sMH3QP7Xhg5vTF5YvEBsWiY2
IaOa4Ps6rfajvOcaM7DeI3VkiK83+QH8MZQfMQc7DYb4x1qextWjP4ZilGk7E85rrj77Ud6RnoHv
zuePDNnLTL/5CzZbJdtDeGLrBIItTJyfnnhapYBgetw9aTEw6ONrEnC9Urn9aO+7yAzQ94kdGfa3
Erq8tbw/hJsmJ9wxbUIeuwRHZHdjMChgQQ84hGCTPqJXKbUf8eeXmIH3c6EjQ/tqcw89/QdgR6D7
l4K7xuxx2+wUamgZMymw3haaQD1fo/04T+RngDyRODqEy0Pt1mEW7NcxH9uEplYc3LRNELSM8Akl
crWZqdBL+D4VnwXvU4EjRDfPDrLxnZ3A6oT16zy2BU1XMCTMnFrMwZB2Pbx2M6sR5rmavYz0zhVm
gr0jc2R4f8mSQ+RXMGGKAbcJQfXEI0NiBW8wBDWpXXjnKrIf2h3pGbDufP7IIP2RKJbppryXB2n+
gooibLhCDnkkR6YJFWKQcVkmNJLsQvx6xfaD/cJ1ZsD+guSRPQBX2X12998PwaBr2+ImTJT6uQHr
WfOIeQK7bWFHNZqUH2crtB/vXfEZMO8KHBu62xTgPczKHgvM4HoZe6RKpi4aE+jLZ5SQsWP/aYH5
6jVKvYDys0vMQfqZ0P8AtH+v4s6vHucH/vXzVu8Z/fjayY9gmWGqAeXosb9vCvBYtEAMM+gz2BeD
wTblX9Mqf8C/T6f9+D6V3fmNP37i72/K/7jJjlfb8g4mU7r/9X1zwGiYlFOHvtSSC833DnSIILa3
vWu+XvtRnMjvAXLnr2CK6UTi2HDODhJijfNnbOjoegT52QYpWKcY9jpDI9Akxrqaqc8L6D6V3gFy
/3TWnW87PmRhNuu2P8AappAdQX5EzMc+rmkADUkStSl0cU0nO8L9nq3TiwjvXmEeyrsyR4b0etts
DjLAExYpxQxmUzxylntwNmETLETMkyrjfI32ozyRn4HxROLIEB7zPk9ug0NQHdC2h4C2hNa9CdUB
aTCixIE8+bHI/DOO+zGl9VU67Yf5+SVmIP1c6NjAltvyICUI2DVBTQKN1D8iq+ebY8wTeNMEr71/
ntRsvV5Ae1d+DtS7EseGMyzqJczwvJP6Lvu5tvbkI1DVf914fAa99KbJoPfyRw4EIdZOVREqETBS
DNkOmQRf49L6pdGcuOEFoPdeZg7eewWPD3bY8Sg25bfD7Hm0RnDHMtPLW1spd6CBE0b0Prx+Pnq/
zPrr1HvxGdhzmXnPwB7B43sG3lzBmQ+H8OcPZSoGm14fvfaz/VPQLoRhzyu3JhWMcfXPVupF1CeX
mIf4ROjY0A43B5lBBJ3acMIJhGjkpf00+ATiN9OBWTWTRT5boxdw3pWfA/KuxLEhLHUs+6ye4zNf
58zHUTMEXDX+eYjCHmdOYfS+Dc0jE4xfodMLKE+vMAfnqcyxIQ0M0yF2XUCXp0U4hUbPlziVhzyN
WtCDMMF5tkYvoLwrPwfjXYkjQ/gDdMfAOVUHWMqwxxW2XECu/Rh47fHMY8cBBGYTz/wKlfZjPL3A
DJCnIseGcg0jRw7R0gnbaog57ox6uUKF+Th0xJ7Y6w+zNXoB4135ORDvShwdwnACijrI+XMwmNuB
DhGYvP2jI39ahYReTqBZEHLwM4zn6/QSypMrzMJ5IvN/A+mXT6j7ddSft6k2i4dDAp8cUvf7dx9u
EpxtOBF9rO3vJ1N+FH7P7v98C10CBKiupwTLeKGdzoCH+fU/Pe6u0BbC+j/fGrAxA4bKQFF6HOIM
h9ZRCLbb7eNbMNMXitEMeokYoWTkWFOYSRj++XbcZgk74cEVwLxfyNYpBHY6q8e3YPcWhsnvnEMN
jUArA7d+neF4kyV9kKW/bsrjn9+ktbrJZFrpURoex/zH50Z9bdOGfgggBBzQjsFDO+qX321ux32F
cA/+V5N32k6DkFzrzjLdoWvO2t4qPBQRIkpaLDOCa1FW/WeGB+LpwLoriXNZ8T72bNNXy6jzrVVV
hhdVm5kiNdMrIzJL4Qx57XW6WXcl1Z7FSzjcMKu/9Tz9Espg0avkNraiVdpX55jg2yLPIxEVfS14
jrUoEb5MVWyLwGAfdcwzN+GqOh1a/+OQRZ/tIGQiy4bOpZ26tgNyjVq64EV2zpLiLLYHcjY0funW
MXbcJuxWQTwssJN/t/Lwtm4D+zwN/FXel98c2Quuh0+dVpmIscKC4DgW1FKpR3LfNbusdlkefmpR
/TXuGssN4/AU11kqcs1KoUJSiqqpUlfmZB2r4jyJLSLasvxeNCESnZFV7pA411KVudsGxXVkN/l5
p6p4WUs/8JjKYhGHZeByM/DXmmamF/J6oKKwhu8ObuJ1Y7G7QcLNzX0VvsN+b4pQl9uwMvlVlCVn
Njew8HHer8JUO9dadmrBWAuo1aElyqAK3Fh1rYiCNBRNhOhKNl0gaNnYp1bHgndmQNBqyKNAFIFM
hEpJIEjbZkIqEizMPolOCemShSElXkVhMrhksAShnQ2PQJadKt9HHup6c5VYWi4tM/eXVkuSRakq
vKoyohYpiS5RWlwMVXQdp+is6oPBk8r57g8RFRFT1sLQknh93UcL5LN+FddBsjCj0IEbgfoFKwu+
qiIaiKgr6xXHuhEqKHPPlEjepi1zVnVuhwuYPxCdmqbve02TEKEJMd4lUKYSaoBfWnSUCklNunQC
o3KjvnVEnwX5wlA1EnEcy3Nb63YV4PBDj/VNXZvpIjScXmRVDtNPtBYypLboC26d51wTEaBein4Y
b5HE6ddW29HHNJRI6JCnp32d+gJ3QSYSP0XXthMGIswHX0i474KURn3qtEyKsLXa2mO1vI+VZMKM
mL9oAmWcmlW0rO1k4fspF62iuVA8LQWxiBKOFdXCiFrHK3OVuLSJ6LsBde+irr6lrYoXGkdIuglO
1jGUXk/tuPhepcO3CjXhsspRLRKelFcSdcQlHfWSsqBntG/9S2qwZuX4qXWLjfqT5FlleGZVd/4q
xB1CQtb5XQtascGIhR9GidBOWKwM2X9ARouWXRhQ12z4eaowXbRtjwRv6jM4k6wXORsGt0qChUxT
49ywzFNJyMdGR5Wrg/CDKqJzFqU3LdOuYbArbX/1Gb6oM9r83cfJtqXVZWcZhkhLFHlOW7eXtWbp
KedVJGQpYxHE5iWGbwvz8KJprO9F7GAXDcmV2ZpINJx9GpzUEjIaHFFpda+ZDoSv1FkW9e+ANrus
bancLGyIlyonW8USNaJrQtvr+qwTjWRMlPDxVOPcZZrYy74HCFGhrmsjeJ90/lczq7/kFpgHx8wb
j8XlhWzRpospXeiYBG6js2CJarRCkogitspFE2ks2ICUSHRzpZ32cw1ZvccM64Z3zBGZYumZY9vw
ycqMRB0njZtX2UUdmaeJ06RuY/nLyMyKa8mrXkRJZAqj417VwRBFn8bCbqTnh5h+if1a2Yss7a5S
XN1lFjtLa/vvxFf2mVRIROXwrUNNKeqsO4UfnSxDbNZCocFLKFuHEVgZnhkCl60bcyMTTYZOjYKe
9m3hRVhGwpDtO/BIlwnWxPVl8q1y+ClLyRoF+cqwilXQhh5g6nYJgj/bm9CR0tWy/q4lu0mKtlo0
WX9WKStc1CxxDSt+5yvfAF9QuwnpL8Iqeae44SEZfkjiYBHS9JTVSerVSn5IZOXWmJYi9TUTqh9O
fQddysR1TN0JzbFLsLn167QX4MeMfqUdrJ0bqeLEDWh6a8qyXDw9eHfH6d5l4DRkED6enfzrj//6
kCn49+Ek3n//5Xj08r//tNpmI8mupx8aY6Nfn/r3ab5jLPLraN9JhPPj/OYXwp/fvvmq2MiCgOVX
8elZbPTvUxSfB0ij5K8AaYyHoWXEsoHGomzc4fQrQIKmXHgLw/BcYiN7bBh5DJCAETHhDGcY1GfC
iWTQTwJv/QyQoDI9HmDGHykTiGh+3okdrCAw3BcgjWWv3QAJip5wQOXDKEg4snQ8aONpgGQ4BonL
Lsmu657Gw1WEcztaw0kOEV5UlUpumCyaylWJvbbz4qYOnTsrCNtFidWHBiUZLB11WeDyS9Jn54lO
b6WSXmXgTJDIv4IlfZV3WeymDLwOaQKv1PFlaLafhyjdcgnPbNZgDWuNZu/sYFgiZUUiHBJR+2Hs
YasWJKmiq6o2RAezk7ySNCn6ho0ITFYbJMs2aBx0Bgd0lvIcx7QKVjEyrEGAdaZSqJyA+/UNk+SC
NvkZk0ytCsbPaeIM1gfiV2DZfNVGtcd5EFqXZST1l6j1YbE1ROFlUzcRmPM6umA6pRGEabZuwVnb
hse1U0anccqaYVGUgVksFHAfgUja7ltNVSjaJP3Mcrt2q7BdOQ0vV7mkm9zPfI+1BfgxJ2mXpM6u
pG8WLtaVJfJQLorBhwCIk0XmNx+x6X8yyuGsYsZtw5SbNu2Z1adeY4CbaO1r3tBeODl1ywTf9lpu
ciO7SGpmgEOvr2qWpoIZ+akTslyUHN02tXEGo00WqV+snSD/jiG8U0Z7imR13lJ1GvjFZcDTtcLd
us7Kb2avb3mYnOKIfox544U2O/VRcE3DRosiyd8n+SBYKr0kN1etrW/LyvFI155F1PqsGBUmdzbc
0edJ1NauowheRPx7irKFldA1aetFmzkrKx9clOkrX+obHldfSj1AsOB4uYEWKQvXQ6aunR4iWXtY
p9o61R3+PLTZVYMjAZHsGrB086hd8jBcR3621oRfDOC44Hiy88iOVjk1v2I7WjqyuspJ9S3InGgx
Qh8w/sEqkQueYeXQ7hI1uhI1N9c1Dr2+iNYlxe+KvnWrwfhoh+QsiUaE68zLY3WmkSMc6QjuF1tu
abdJk88sCj9mZnhbhcbSz+1L2PS4xLVam1GTCNqjy9bqvjWghMtT5EGoeOk3w7nDkFuG1WXA0NKQ
3UXbhWeZVoVw+nJbMnzb8O627GMu/KCx3zG7XEnahmvqW1e9jdV1mZjRGdj4IhQSZwTlooH7ZXfF
tUntyxbBI1Vz6yxptOEWtM29XPP7PujWZqc8S5FLJoN3XVFRr8ul1yQJ80hRfK2iHh4/Qr0891dd
0fRLg/hfhzK5ankXLh1Vf4hbf0EMwkRsVXqBswFChTjNBVEWc42w7Ny8MdIFDtGVb1m3VilLcHmq
gjgXEG8ifhPlxkpbysubKDvNw9hwDc2iZdGhqyqqV7EfuDbPhNnqegFPB6CFcSV4rW8KP+zd1NIX
mAylG/b6IlHy2vLjS1IYK0TahaLFOsdYirZQd7mlAIzB8HCrWy/ye7hZFX1nJ85ZVkXEK7OIiDT2
IeYbuso1otrNYJaqi0MbkjeZXyqZ1CKuDFfh7O8KRq2KHqvGNdSwrhG56mJ5T0kBIYKDT/08tUUn
w0ikUXNLU/yp4vTcsINTx6iTZdKnuWvK9gp2bPSiscACKCPJXZ6ntYcLvxatzItlVPeXWYFaQYm8
juPiY0Nr6oZh9yGgNjzvSIoUAv3Gia/9BG5NWKgY4u7oI29U6nIZcmHZRns5ZCS5CG0au//f9z/w
IuPB67/x/VAtfmhJe+76H05sf+RGED0xxxLkOK8VWlIQOPGfrh/6y2xuO5w4Noczwp9wI4ScAGth
wniicSslHQmQX65/3EULwxAgKoCtlmPE8BrXD1HDxPXDKT0ERi/AMS7A5sF8hfH9J9yIjKJQh0lF
roBBUaELCVQVQHhJ7fhcSdXmkFc0AysbASkv7rww7Yf3NbivIEyDS1JHbBOHqUuqwgX39zViCUI3
LdI5JLFNnxdCNym/Vlk1nAekTuRZUfX4A/A0hn2GtFkagnOjulY+8c/jnprVAriJCL2XjCfWxRAM
ib7jaUDbq5Lkpf0OssBVQ9Nk6zeF9LJU1olbW04drczIQUteOLK5rYq+OrMgODfEMITAi/hmX38d
LFbHghWheYFr7l+URRFxN03bcBF2vHDLoqwWtdnLC7vqrUvfB3pHRNzncKh4Oi6iwm+HFdSjBzdO
w/omxPam79OvLA7uwNUBIWFx5ebU3uaV2lKeoUo0qrDu20pCaJ66uAjas3Qw7WUVG/XXlgZUNNiE
zKCNa+Q6vI1EJSvnMzJk7nGwqnedpM2pJik+Cw0/vDSAvjmNUcnWrKi7syHPi5VlN5lbNkMlVJx2
ru3koQD6YIB01L8CcHOPVo6rW+17TqUunBqYJtsvGTgNeziLrWR0FzwRFg9XEOcpYFMw2I/eieBk
oRpihzT2codvHSs0IIQZToFquCaRpKvebythaLA2gV9aQlvd31Zo+V7cDo1g1F5liHdAL3YQ/ZTt
OiZgUE2wWy5P7M4roU60iIwcX5tBHL83WpvcppSm28i0ynNVyPRz1FilK2Vxn/ZNdPH/otV6ants
SNx/Z7Ce7t/5NwX8Q+pnooJga+g4h8WEg1tsGP//NFGBvqqxDxqOundg/9HYPPOTyQWOF417Hcxx
0xGcCQPpw89EZbRWcEHgXh3o0oADv15lrZ4RuRwCUxjaRaH1nsC5oGCgnxqraiBZXtR1t05bwhdN
64e5yEjEYjdmbfOOGnZ/HnVNGi9ME2LIKrOaj7GlOzBDPC0+P7l7e9KmcQzcbtYEu93hDEow0pZp
jcch7WpjpX0e87Bu1rhI0Rr4VyDCapbR0O2aKuOiaa36C2tyQwKZ4oCFLKIyBh5m0MyC1c7Se15V
5jVcIwR/nyTo42AbDlr11Pa3qDdQt/y9xnhq7G3QGNJQONgD6HWYKGxONJYsBGz7ak06Owg82g3J
xwaOSSbLivWZDQFjB4yTZL4jBkZH1i82yUo1ZY+8ssmq+7DTGoIvI7c9XcmsEZUKTVjspQ0kRZBF
4U1c83Oleag9qPPzTzosLuKktbuF1Aa9kmXYqNXvf9VzGCDKMmH0Kpw2BP3aDz/6iQdjvRG0Rp7o
dVr5/FMWgA8WVozh0YA4qrtpu5K/z32U/P37rx2ftadFBdigBVUFRuAQUph4gcmo1pOvtc0usHId
pOvUGdAaxWENeQmYK8cPP/3+m8bse/pNHIaZMSAKYGOYM3nO8tTqh6IMs7WTm9amaLMyWfmV02MR
5+HCLOqRrTZ7J3MjYrfqPz0040Ox+/XwoMCsUwsOW4VB1NOvh20wMgxSJcHnxPZGRbW9iZNRB3tQ
ekHLLBO9CdCvWiC2MHB9GdtWCddnLQc32lFSmi5pIyAAIpaqj6TMMfFCyOW2udEAuW0Mio3RvVWe
2oQOtfj93RsPLJnqz0azAe2eGM6sskby4wlQJq3t1LZ94wrVvtrIsgIuFBlxBQQpAf8dnLehjL8F
Ds8vu6EIlzSzOuli1LDvFRC5mduHAXOtLGq2siTsvrHzkJ3/XknLfgbyQxwGlM54kBKsTiicPtWS
lo40If0jV5FV5D53vIqHw6qrOsKXVVPXbtkV5rtG9XYtwjBkbonSlcZlDgUJCNIg7VO3eWKrTrCk
DT63kcrOel1VIreL/CPVseP5Req7dRZFEnIeErXCj3S6bnNDXxfGQBZBgDgkLoOfKhc3oTq1aZXc
4ii4CfqUdJDzsmJd+cWHCiuDeLTBcCNlj8E2WPUAfEvrRJdJaDtffLO2zkMKrOQQdA13WzO0gG9O
enlmOGWvRNs7g4daoFCGqLvLdVG9r02DAWGiKrb0dVGfWT7GH4oQtfHKZwYkORDJ+d9g3iPEojIt
jK+1YpAw5hqfAfWfn6GCJ/eyyaF+kBMVv5fc75hoCis4L/2ydnu4DytkYX5dtKpbWG1ZLBECHniR
wBmGQFi3gVO4DQ79hdKk9OqcX4e+EZgeQll1Cq4Gt25qApfkVCz5u1NmeIFLnr+3SWWvah4ZeKmp
GjYOzcqFNrtoWDaxEyyNrjM3WCftdx3kue0OuAK2OQ1wEyy7KspgcbTtog+a2lmWmR96EI2r0xQ+
KsCclxncaNUwEekoMlzmt0ywzO4GYVWJD4G3kapVSeNFYNW9+a4lyPKkLs1ERPAkVUtStVyvOsK6
S6D2hsR/V7dFpZToJeSf5X0IjDkevujW6BgQVrwEU57d4V5FFfBCdVXXubmu4krF3TmXxbBqeF35
Z6qUMhcRTrL3JjPIWdQTUrs1YOBD5ciEuG8IleN4qe+DP6ySuC0WNG4DE1iqCvnXYWFSlp3GPQOm
vO8SXl1SXRF4olo/Q0AG1uALl9QII/+6gaVDA7dwcgceOBJrtUwTWXKRFOC8/EXXSOoaPvSDQ9XK
N1MLAlcodrhQY2z9ZZuwRC20D1HBEqrAanCdwQaLmeLYql0VlkYiGt0H+kZLQ6lFFkjnu1E3TJqe
meFqJSG9cNa24Qf+eUpYxezITTtdDP2phqbEMlzkUKtVC183Q7HkpU7lsk+o6k9NrVXu2rhPpMs6
u09WpSyk4QKs+LORqwF5MBotVh78ZxrXUNAwNNzyFCJfpbg6IyWvkkUcVvR2qCtClpGRYXQRtiGU
gwQLcVit/LLJ0/fgjMl5FAwYSq45aLDIoPw0LBzUDdx1oj5vr5TTw6NtwFIpPR+h+rwktp14gU8C
KMulDcApmYb4JB0iMmyTGLr1PAcUUB7pVVicIVNap4FkMXUhRyuIJzPpe0PtQw3baMscWBy/jSyX
yCIagHaNBuPC9BNriXI/sEFdzvIF6sMhO4PiYRssYm6FrRg/JxCXPIXHJyCF27XSGETVSeNrCeOt
e0NIWEd4jYZUArPkNJZBPvRJi+s1zXmfeSkvqiu7TsElBZrFIMAVgbvlyxClXwaUpOF5AdX4bqlb
e5AXCDLcD1YE6ZvdQdVFOAge3mWddowsNB0kKF+jSHkJKWLtOkBuQf21+JK0LUQWURA177VN2295
GZLThrWBv3BiSOZF6vhwHTvJom6Zlg1aD11OrHe6stEHVBnwiZYa2nEr1LNu0WAVydOywxiSQhZo
fC0Nxj+lZjE+nFFU6BVLdKhvut6CBM4sWsAmbFNQLNNgdC/Ag/FPxDHh6VZgJUsPdpV32VmluY9v
orKO41vspMD4dRYQr1dVV43BZ9h3N3Zs0G6RtQq+GloMIFvrsKqGlRmz8cePqrdgn0CvXKG1Zafw
K+rChlsVxlk8uDxuYOnkSRDLd2nJYMmXNUQFAbwHNhVXaXhdIKsvU0Hy0AS427Krr5QR5lBbNuui
W3aws5Ys+qbAo9GAxeTCLwID0nE0xslVqj75cBzhudNIIFedEGgJt+sDumlTAmp0ZdTfkqoz9UUA
YW50keVpHL13wFusdGqidcGD4gsMiKWFCK1Q4vPMCXh94YdZ0Hh9yYoWAtyerHIMt9U1WdHfxUls
33S1NrPTwuyb+DNw4YGGwr+hvvcDH22ILJLQgzzAIQuJ+1Avc6r4Z2NsEQGmJCgE+9/sndmO5DiW
tF9lXkAN7aIuR4uv4bFvGTdCRGYkqY0USS2knv43ZU12Z1Uv+AuYuWig66oKhfAIdxdJO8c+Owyx
zVm1sPtajPqc9m0DfsBXPsW2hws1s5n56bNqnJmWnc+xTFanCtJjyIUnP3tsyPaEy32wNpZtxy6b
yMEnauZ1LnHILPLsKRh/eZV244yTNphdSG/ZvKl0Th8dC5l+WtNRed9Gza2GLeMl87FefLyU6T22
5uFCY3oc8LUsudOm8W4V8zxejE26h2bWaDYn+hD2BtjEusT4clrX0+t+6FohLjw24ZUzuqEomeT9
fKZ2GVhOIt2zRygR/c1NObYRbJ0gF1qGnkOWLjOROAWsfOio9OpXT6wBmbMVCsw+DWPgpHgxXamS
JU5LT041LB+Mus6cd4mO22Odut6d0U617tUkdV3W64SHtPbRrb01bbdG10AGui6Tw+zGl9Bjockt
1I0uFzbgW1sIr2mm1qTH3qF1V4IFMAr9bZ+o/Uoknv42NDQpLKgTnVeDjuXLElnvsWEKzxpOuvQZ
z3qvbzn69dhg/SGFj9CzeMnM9MUn00I2sGJOniKfy6VYIjqGl7CCaX0vK50qHO54osuhDvBtonCw
5qoOxlZcJWpgwa1v3C4+VkakeF/GOPTSKmdYil5X2DOgxqbx0sG9RhmZtnSnGWlZsRjXPVoZYt1b
4FV1FlYsufxQpf9Dot3+JvJ/Q6l+dV9/NWP/f1zdS/1VCS2+j3+0dX/3Qv9+3m/0L/u/2wSyX9sv
v7F028/8bKYAi4tQ424TLXFPbrjxrj9bvz8SiFtHGCYu6rrtlty/ub7A3kKSRNhGPBebwt+aKeQv
AS4CiklAUpTwGC/xZ5opPtmwt18LO7wAujlQGGmQ+AQF9O9LjlEtDe/8xtwMI9CDgYxFUqlN3LO8
8e1YrB4XjzUM3hsfgvFBT5U6OK43Haa18nJvMhlNRTUCXgqu0V52S2gFrL2k+QzWeM5HjOc+Mzl/
QIYNj8IKXbayM7cppUPe9zzJ06kSjyFgEOVOSYbjrJhrJm56KmW24AS692jC9xMupi3pDP5Ke94T
RFN36Lpg2jcp9u9oOqJV+UjlpHY453yI5aG+6cCH5WGcvjluvBzShTzz1a+fZAjDkPmW78Y1nbAB
ol/q4SO4qT1S4Uwa04MUIrqhix+js5H2h2VI0qKjQXoYODqslCavQg9LFg4AgjYCZJLAuFLny4Kb
NrMRIF0qIA8jNpxQApVtQt3Sp/MJC/o8C/KMT/MiRDVk7ijGTMRTD7OJvUVz+G5iiGaxiBcq2xcV
8a4cGEWNRuuHMdQdPHAnzgLuJXlM6aFdZ3lw4v4zoKzLDI9PsYLFNa4ceGHUNLsRNtOOVQt4xWj9
gi+6gewcHoRTXYed/SBrfQiqbsA7Cb5VVt86ms9XLSEKIOTqlnIh1wFOvWyt1utI4CsdB1PABr1t
++ADljHM1/YrdmuVCcZObWduYrTjsmRA19ujroYk9I/bNNi8m4wuFpoCDSNj7vfhIdbxlTA9KUUS
VFnksS8DXe9Abp4biRrQMVCEkOspAAAB/pEAb7oJrNsEHzjRI3tMRt2WCaNnpwrXHpWwokUXKZ2x
JPp0dLurJxKixre7eK1kVqVNdHHn7jQ3tcqSiDeZ33tXAYR81s1zk1WuxwoakXpvo7YkEp6udlb/
XkXRDF9N8Tyk7VfpD2FmWW3LurdTKZp0hy5jk6Gswodc6+roWAgZGrVevmCB5y6e1IAO9x3nBk82
hBhJdQbX2H3krNIZvNCDB0opUxGKcRCyfeFXS76GLoSTrT6t9Q+1QyLQntGjGqs3n/MxT9ogR/rx
OtRRd1zCKM76ZYIOwBGC2jq8SUYrMkPUmA9eHe+MCh9mnN55NUZXMBthL3Kb5q4TnVQ31SfPirMM
O+8oRY1vaUzBH71qVGjOQnfLmhhgjvV+lMDO8rRXe23bIaOWFUR2H6yLdkQMWOpYJsOQGHyw/dvA
9Mkky3BsnYQUXe15N2wZgqKaHHbf1JKeeEjabCLV9SyBVzVpXPoWh1/HYZAHcC2zajB3FmUgasmh
hXgHxzb5fnVw5RiWRItwb2mVonck9XGQ/EyZm+CUnYKTjul6ko3n7EMh3VLIAW3hVO3W1p4cl74O
To8Tt6lNjt2vPTp1mIJ3HU5OsOTUQMvHzfBFJg39rnlfpAzL+C5pms+1WUdI/DQY1W8Nqv/tU/bf
7/zcLIJ/6Z+CNP9x8e3fH6Pbj/5yjCLP7SE1BB/8N078l2MUrckQ9mUE99LfuKqfx+iPFHCMyS0w
Hzzg5b8co7i7KQ0C3Gjuu0gabb7rn4CnQu+P/dEI3kaSuiREvYzftv0Rv3bu0Dvyuk5F4gaCssv8
0cAyXawtjeH9BsZ6x6Vqd6D6jrzn/pClnH3p0+TUz/UO9fUeOuM6meQRYv8G5UDphr3NuyYRV12d
iBvsWc/WDV/Rn3QLooF0EAf4oG0fY1XdNO64YkuhbcZFk9wZGqyb2G0Gt+xI7IqCRIsLyeter6ye
i3QN5z1aPl3eRoQDZR9ZXntpuTZqwLZtC4/Qcq1EnaVuJA4TGNsCm+y1sQNAB7s2eZzqqGDoSwI+
dp9mD6KhseXijxody7DNY9CFWaSirzHeZz4ACc9kigJpmsGJuajtIWibryj3SWkrIOZTz9qss+y4
8rA6dkMDqhbtOcEdd+9uxEK0sQso5cG9bDxDCLABLmWbORvroGhzIwA/RA3MimUNd2M8Idgl47wD
KBEn9GbYyIkgWK7Q1JW7YKMqgGVMBd9Ii2VjLlKFz7SV0wV8/pC3VnS7dXb2cJtPEZCNHuhG2lT4
u5cmytbFOyQb32EBeswAPihfr9eNAJk2FmRq1GsHOKSaBCgR4CJg5Zps2AgS2kJxbEyJ2OgSvXEm
w0acdH58bICgtBuLEmxUir/SUm6cyuIInDo41n1XX/tAWUIgLcLtr3ogLl43nYONeekBv0g0hvFL
gcPU8ZiRjZBxZxxSIaAZzWmuAdFIGVySiLW7EXBrLjfSpvV40QK9QUV6224szgr7H98e+JyJxPcY
jnRJh06Uys4mDzeax//B9WyET7exPk3rJqDdqlJT/Wg2Hmhu+IWG1ZvdSKHOIWjJgB2KRvc5BEzU
BDIpvK4BWAXOiAA4oot35QFAQqP4WgJIUhuZ1G+MUqXjI5XAzFfgS+Okb2qhpXMnRNKtn2gZtoek
xw7dDs/Ag9C5Xeezrtfwwids582YfhGtez9G6hsZLMx9pBlWuqMcIJNeTuno7JTrn0XHrmshTqaB
fyS6W8iOtpCaTfuumpZjXEXf19iZwP4sQbivpyoBCcHn9cGP1wuVSu+9rl52tI5MtgQxfm+Ialnt
l2TVpU3YYVmDWxV90Y5H0VZKn3jqZV1Dz8pXYBPH6LgwEPbDejutAIbmGkdeNN1hs8vUMhZwaQfQ
xhRPn6xuAz1ekShAioOMZzHV9/Co8srSh3UwCmGHKciYAZ7sK4Q1QuDU+5R6wU6h/7gL2njf0Zoe
ZOdgW/IZ1Jft0Lmb8OTwwQOj5PlbhKC/JcZ5TUL+XSj3W0/8Ft5H97wC94i8NsiMHMIiCticuapC
L7oZPsjkVFdpyy61IdgmXPe2Fz0WQyK9G2QkUA6gAeGuy+cEWZX1sbkPFjscAz6/eaLfydB9tXVy
IR3ap+glFL3BeiGhDvdmoi/cpBOYAr4biN3PlSjcQd2mdXd242a36mHOI1ldN8lYF3XcHgTkzQl4
yROZqgK/ec6DNHxEpeXvWSR0sUpvKAfTmFI6/sVgGdwmIr2PrD6YLqxz3s091JSf+UODGACyQVmU
jAXeK+R1q0MQVfKdQZbkox1NFnfoKBDxnaZf6yG5Rw/7vsVngnPAy33Ku2zsyC0yIjuXwQeu5haE
ZwVsfl4XcB9zs2dSJiD1uzSzo/OtxssR0soiiuipiyhodNAY8VTP59DxeIkv1B4i39wb3hVeP0C3
itorJoJ4gJEEy1bRo4FqrpyiJcGZgTzKpy55c/VaH7EdZ9SEyByFZucw+eDX1T5ercopi6fS1B6w
Eaq/wj2tQeAFexUlKzwUeaE6UnhqhocpMlehq5vcCeQePdcsaofrRQzdcfCWGzqae9eKEl0tu4vi
5CxkenAQmHhkq512y+R/tikKR50kdz1LmnLt1uA/PNpvvQUPdv4/11M/bon7eyW1/dBPJYWhkyGu
aMDgEw9W+Q+q7K9KCoS6t81QQEMCpDm6GD+FVAw+Hf8kG+ARo9TG6/2EOyLMWQKLkfi40xYWa+L/
GSG1DRf/fTsCogyvh9wwfOYA17f9Xkd5VTCitkiia7Y6gXrywRzjvOe29wrGHDQICAIkNYIjbfA6
iNjIvbt0d64TIFYWwKVQtQFoNSZuFWeWxFoee6HWwiZzEGVTpBt093V1woa0sAyia23vRN++DEt/
H3vszUDD5EkQXNuYyyLkUV1i2wIfLNmHSFiMQ5j7W4+dYYdzcjMiocWbFhxoa4sl0A/Mq16HlCOS
I9xmtUXHemqeYZXrvK8nGGeRagdRMLxqnIvJjvwSOhapEtYc6rCudn7VLaU7cmwTfB4+/GZ9owg8
5WPcV7k38J029ZKLvjnIxjmAixrRCOcfLljPfYcVV6xh/1RT56t/Gbi9iLAt0EXGx9OtbV511aMn
yV0v3DK1875Z77wxflpm/RJD84Uc4bP/m/bhv1thsw3Y/lcL8b87RFy+vf9xKf72Yz+XInqD4TYD
mMDrQ+WQYMH9dSliaE0CZspFjeIG3q9rEblrF/e+A2IIkb74sUx/rkXUO7h5GNcZ4gYO3A2PjuKf
KGrgA/xxMW7p2xhjkhJ4kbhF8Q/MCTFUphNhE8qPcTiRLg0vipsz4Z3Mo0k9x5BeshnbA/8hx9gP
aTZBSFu5gnb0THeXsoHjxLR3Iw1PINnFTnYaZPhqAQwhobGvuzlE/4ntaDuzI1xpN6dDBZBwQUou
T2fJd30ydNODpcOXlKGt4cQJjERYg02OCG14mo2znqKBG1blltj6NHVtYf3KOYyOwpHMV7BKbrW3
HuQ489oU+Tw6Pw+YT3D2IRYuJOCAAuqHYQrYUJLeurvBI6DflYNk2pzyQgQrNHpXQw9syQ7lpec2
ASgqqZdHoz/uIjNckwhyaA5Eupu71WRONcJrZHw5qEVfe1qn+cjlF7XQK+stJXNt4Wv/4ob0vKwj
y8YGpGkNjyRrCMmXCZA7xzcMrBKVHn4Z/V4tIn5D+TVXOxkB8AcsAR+bae+QqumetcEDaVw+HYeY
OeNdjRjqAbhDziWLDxLShj/Eo5uqjP0QsEGCPHPgQX1kEQQu4nLLcZvug/Mc6nft+a2FHI7D4cQh
jyVkMoFcFpDNTh8XAjJaQ05jk8ujevi2cP++htz+P/Ee/t02DxgCWGr//BQvu/8qhHr/9g+she0H
f24fOMmx1BEMQ3ZkI8exPP+6fXi4AwDWQhrAiQShBtDo51GOS1FjQGRofMD6BDSB//Vz+yCwKnDF
IoByeALAGv8UVY47I/64fWBqKqyP6MclrNisNtrp698S95JWJnK8Wd/ALHxeuPV2cyALB1Q7Cgat
bgEZ0QPvY/EahQNyMFEnszFxcMb3SLxrZ+anlSIpD6ZS5W4VvrS6TQrVEIuupu/t1hDh8n7DASLA
PfkYTqKUVTrnUuvlqmnAqI8c7XJD2CkekqdU8yNljKMhjB5NEokTRoDSA3Cu41ibl2qJt9j48KAE
s1ns1OnBc+lXHs6PJnDPSE5fI9ADlplWHsqextvZCPmaYXGuOnRHrfTWXKzpubHdl2r0T2M8aGAa
04M7I59GJRCYaYndDHHyj1i12J5GgzAWkJBdKsxnLOJPsLNNgUD1VGg5X1ITvHJf8NMwoW0C2fQO
IOuOwR444s8EEd/ftBDkJJi3gE0sxLNpLC0x9BLZt0rsoyF+B06yowI50oqBg4+ApHdeaVqKmFU3
7EOHfUvUcr/ELT24KVz2fo7AZCzrWjS1E5eTY24StgRZTf3nuiKXOagAVvqeQCCciIwPC1LtvN13
yKMF8fgGCAEubDDq/UT0zbqGy5m49pkg9kVujcbmN4xmRfqXhCq9Ys7wfZ1YlFVgu0v0J0DtmM3G
XDuz7+u6z2TdpGjuWnYXtP4TkrB1NgAtOviEZSttgy8reg9DjwDB9DjFHb0eRz6cVrdXsJSd9jBE
olwa996DpQPjBH0YXsMUb936uV5QVldsIlngjE0RULgOAMdMEQkQc44jbmlTVVms6d6P3UfgZ022
NOrbNJkDvNpTOHF8xLYvqsa8DFH9LQn6q8pp0IXzNu9KjSghnek97LXNmzD44vjdmzNAh8LR2ts0
FIj5NQffpQ8yQU1qpnXn+AHP5Ep2FsC9aZKCd+1VXCXAFlE4Apd86Ff+3e0EKUGKxRmMEOSjW5A1
s9N89WLnNfKR02bmvkOKzM7OY+Swt7HrPpmClSIn5yyNunaD6snw5myXHt9W5T/TPuA5U9UjcLkz
wl5wKHwa7oIhQSKTpNfcD79UyfIUuygOOwofyaCfngGP+tBher+o5poOCuIVpyNJ5pvFC+8Di/fS
V/Wd0t4RMihHiXGi8M3QUDwPTvRB7fhMQppTHmH2Q3TD6vUQqB6dslpmrbav0UTIvqFoVbQ1As3Y
5uA6SAfm1hZQr4B85XOtXpXuT0E6X9oACQl3fZ44hinM0MK5DJYjWngbyLmNlXC6e8xe+AAZiKB2
2yk0lch+YwhKpKlJWY1wJ4H+9TuY8Ic1RM+tGfoGYM6QG+3tiI/hEtuOi10KwcU2nG/F5M6ZD9GC
1qa9o65FA9WVBxcfAfaku8DGl2ZKv0aoLbIhiZ/8OLwEoWzyYLLI6FuU7mLb4hRbi5m6D37Kd12C
rJg/6D7TGPSBC6y7Qz8HudeNU0b7Mc5jPG/TSh88N/xIeuTBqU8uUE/VnlLH2TW6u/eQg8WQC5hQ
1k8+fPBaJTxOkoXxUNpg67/U6PNgJ921yKPD7KseGonGbq28R17P6Mh6Sf11YM51DDakxKl/v9T1
y8LmG5WyQx+R76sRSznyasGgBxeDN+QAJlxHTpoBFulfekw0oZfVpzYb4xkxTy86R0Q9phYGoeoT
H6kc8YYeYloO4RxAI66vFdKNWTLrj3h0ZL5O6jasu2tGvZsgqt6Mnr57E8IoAVenbvXLloZdOY3R
3YS48pQCm4tdJfD+ZUk6c+UisAgmibtZtCD2CGTkMTCYwlC5J9BZzw3w/KzF3eD4a9bXtDUXLe1z
Hy13w9Lc4nnAh2Cmp74FwhUxNxu3kSGzCys6mafMpOMDD+y1F+sTKM9z6Jon7qew86LbmOpiSEOe
EfyLCVlSwJczaOmFOORiiMi6GUEPuggvYo8tkO87cMkPqkEXPwFhQhu0b4c4QG7TgxKOvarbx0Nz
XFfiHp0WRFYTM1S6gmUYK+Mf4crVRdo1sCODgZeti6YiZJ2HLk+9wzSb5j9e1W+9FReuzj9XZf/d
DTX//GNFBy2Hn/pFkuHyrCCOEdsjW+X2iyTD1aYJ8jRRBHfo9zYV+Qu6HgFsqgDu9zYH4FdJhv0E
fRcouRQtG1hif6ai+zvAHCM04cLiD8TkNZzS2zSBXyUZVcnSNAHpbhxPfqH1CAJu6j48Gx07D45r
g1ibVlOZRD2C88luDehVauX1QnpQg0uPbgpsFyggJ1fJ5O9o5O7gzzws9eyXJAH5MFN75Y5VETsC
KKk3PtcE00M6r7tikezy2VGHrtXvaP9S7DHht8qvdQ47FqdAZM6GzN+QgpM5aVEeoTYuYzvjvLR8
Ld3J6QrVIzQG2ApNmgnwRmhddEbQ7N1xYW99hNkKn3bnyUToQNPxFWEzU4CC+ybc+IRUxVBIg0gy
nXWb9TTIIoakAU/S2zX1XuYKrllDMFkFnaYl65IR/xk3db7Swc/6nlZZUh0DOu5sIqpMgkPL/MU8
r4xexoSfh2o4M7ynTFi4X73vY8tssavTvmy5f6k8/7Gy3YjqEMAHcBzkZvSMhd462JfD4NAHts4r
MryQSDmw0OBkI/CMhCN9GP1meAP8+Ww3QTVCWSE4rvfdJrYaqd4MBeEHFdZvciycIpGFCyrlaRNr
DKqNQb0FElN8pnq5cRAPKtt2Wgs/gsm0brKPqtTZO2K6D6AIow7iEaAp6J62PYv4fTTvYGx3IfSk
toHYTwoTkCZNS4W+mXhOPcYfOrcb2s+art+QWb9fA4Q4k2kQiIMrRsg7hthcV3i+j2htuQcz+nBK
VZXehH2lTzat8jBFvbsk8WFUtslc5tY5C1N7HTQrBGEt+mUPRP9l4UuR1D27BEZ8AtvzD66gqcQE
L8LW/+xz/7PPoVL8F/tcj8pT/YN9Dj/1c5/b7mnGuBIfVjfGaEceqLJfSk9sfmG83RD7+8YV+QuC
zC7mQm7DPX8rSv9Wefrw9kNQcL/NgUv+zDaHffaPlSfyUaiL4Xxh6hzBXWm/3+bEEK1tZCtUnl3w
2Ar94OvoDIv0rjUYv7bMITtRFzETLzw01jZF37bVrppjzHcwU5W5EpnlxGJSFcDzezfEICc2JF62
hGOc6dW7G12JKijFa/FEsLJrBu+YUuVD0HcPKgFbtHJBMk+YiyNdjEbhMJURiMVEAxNh6scI06Ob
fQeY1SKvXd4/4qah6IIJIvyq2YYaiNiX6Pxgifldsg/1JqtnseQxw2CtVfFHxgk6Uk4PiEzpoxyi
XUVGiqlLoNOTsP9EhukZ+Q8n6/zoIALnwVlbD/6hvqwb6r1G9AP5ziaT0QRfFEqOq2MDE5YG32b2
roJ8TOkBkBotlnlCnmuF+5lgLhUKEoNxLHDcysE278uKbd6MKIrG5eSNEPepizek5uqoFbm1DsaN
WF4669U0eicTkreoiY9ojYfQ8Jj7lCbRlaIKY4mMycIZ+l4Y76aNUZ9Td4Kn5uIrCRIN9UX1MVGh
myHVce/TJbxLHfbV+PxOcwKouws6QAzM2/lS+LCWZm8XwAwtMWZlLLtWNUXVLl6mXHLl1+xopzpE
24AVDeH3ptXYctbJK2WAGNoPviJOASAA25QlleP8QEcXQ5689IU6oslEPeyl25zQj3gM0/Xdcyjf
97bNRmx7zczSQvggGgbkQrIhHA6LO/t5PMpT4OG9rEru06Bv8rbyuHs7hCN/IJXELwa9NrTiZg3V
13or8/3ZucUD/p6KWmQKc+1OrPVeFXoDamsSOCREUHMJPs0yfc6JtTu9tRSkJtUBUZMP+LYuxgf6
LG/R59zV6EVEPtXnnrjA4JovA7oVcELRwRNsL9DHkBYFjMaYoN24NTkAKSyZ0vp6bFYsn/mR0epD
soQceACl3jj9Q7UGSJr704tEFwXcAKZaoK+CPmKHYzDudwQ9l5hGT4q57ITxgXHWoi+D11yu5Ayw
zqRClCONVf4j1zErBHS8dPvyTGBzN67iAhr4BaSEgrk/TZnWnJ+0PxlUoBhQxixqxU53GD5otHil
7tZSYkzdNgCJYMbLwmyNJzL1z2RTwnRkQOmhjbUPvgUMPC+rTTnrTUOLTU3rTVeLHwrbn47uprkl
Ycfkhwrf9LjclDm2RSAWEOuY57ZmAvI9HOWhgZxvBBjRZlP4Q+eAW9hUP2If0P9bJQBjtRhDD8Ed
/AuGgt02NM2Enp88FBGRmk4CRUUaqod5qzJW3e+R+UdHoa9WQKLe9YySpBYR32iZ2z6c7lq6PJOt
eEERoyukC9qtrulR4CCadwpR8FitH0dgQKj+UQthjmGQpSiPWpRJyVYv9ZZo0ALmUqngruW2K83i
lYk/nPyt2rIou0KUXzXKMOQfrxHXvJVNAo2GQq2qgDyg/HrtGNRFKAkpkU1501t9V22V3uiD+mXh
2TiDKOcOTw3yubZ9xtCICIZXzIN9SiK/ZALJsqgWxY+T6z9Y3VZZ/PMjHCn/9/lTvet/cIrjB389
xbf7UdDrBVEeb7zdX09x9y9pGuGgxj3BOLB/P5EswjyS1EWSFkHg31UryV9Q9OAMR+2zTQf4cw1k
jAj44zFOgm0uLH6Ti0gmbsP8/THOKcFsy5mIG9ft6GHAKFNGIZZVsJxRhFuYJL6+MpMv9oG74kEy
0y1vQuSgef+hQl8U2tEHLJSoTANlc7rEQdaETOaYF7pi+1r8go3EwTiQeC2cxfS3kqYvLAJPNasg
yI27nhHnulJReCAiRYrHYXtph5eKUJGvklxWZaFzRTsfpm480b5B4yqMTitB65KGyQVN+CcawdgZ
a3KXLklbcFVDPqh3Pwo5UjP0ee7RhlyQrkaeEJxKO6+XmCcvpkLszAuC17QTL7GZz2mLmVFJ9+hE
/WUkQHiRMHriCp0Nx0NStFrOyRrec97sPOp88cG2Ukl3UCoJSrrhakjEK9IB1wHrMVctMvvZYBfB
Q/EONkVn3GAEiJOMZR2vLINz1xWBMvDQK2nBovCpnOfZIiyMEVOLAQNLg4Ng6JDh6LleOuxVFFTc
PmrHXRNLnKgzAHiQZbnjr7dBFX/1x+GxnewOMZk+Cyi/NWGMRmV/rJE6y6pE38ZT8sRkRdEPsq9x
jepq69AWkHht3vFa7AJ0bgvuJ/tRrXfK8GTnse5kPDQ3121E1ug/xUyBB+z8Ko9FetPMiX/dVcnB
EPRYr0N2jCFjkFA+x7ZpctwCtquTGcWSRKJoXDEKLBhnJIzIK4sxgHWS3M86Ue9RGvOs7cXXNolF
0YwoUHzp7TqCvJBLSzvaQ40GNmrE5kOp4BPz/D4xJJgeqAyvt6yVmSUFMDD3JcyB8DmIWsRKLYFU
q+pccHnCxLhjF3kIMLKdIhRnILKtpTXASH0a2z35UUrxaBrLZXbu6mH5lq7tovLIhQ3qQlCsMtRw
ReUpdKSfS4iONN4OMr+CSCVAsHGnwsHfdIpQ5h2py8caYOise8AGsFzx6OI5Sl9EgFYj2xQPptHK
sk6pQYBhgqWLZBGmi0IjjeAzsyDq7lNM8Yv9KsgwG+DI0xgTzLSHATTQWh1tsC6SbioJtDGIS2gy
3Ifr7pxNp7noxZ0tpFsFCRdsWm6EqAO37mK2X6COg8Z7YeOCeNqKoxnkGdTgeoMWPtLGm1KET3tb
QTqy3nWLYVOTMWRlx+O3ETJTi7s6DGGtQIES0ldHE4trA64im6FSU198Q5QCMgn6tQ/7oUzgKxWO
cTDiZpO5S7SJexlRUBrOHioECIa/6WIFT+mooZVrIW0uKzwGc1+9201Q+1Zeqk1ic2htM4QH7sFw
sVDhDm0/2wlLxucCzzaUuk7RR9mkO3rJwTZj7RGZ/O/ppu+pwXMXbJJfcPAYGEWQOQP0xEwlv3J8
E108FAtO3ctrMyPjihR6UybpWhVmqy6mqhI5Vag42DJfZtUiw/D/2DuPJcmNbNv+yrU3RxuEQw3e
BIHQkZGRWkxgmVVZgENr9fV3IYtFFkXzGucctBnbiqwUEQH3s8/eay/TSOrKu6jm3WwKnMh1Gkdr
EfCKk3yFHzHNN6RRLJbyBveirJ9XJWOPUdUd0GE+WNFcBZ6yTEdshoNNP7EtKfDg71BFx2WWSgiK
IzZUN5kwjlhd7tRAvQ+W01zT+0OwnO/GPGOjaYq6jq/LUaufk0+AovUJU2zAKnbfAYufsEW5cBer
hcDofMIY/70TqCoI94WE89/vBHe/dNL8+Uqw/He/XgmwpAhL01Ai8XwQDvvpSmDQkYnF3USbolZr
Oa1/2SkL2D8wcHCO/YYF+mWyB/D+KXYSfWO0x7n/jyZ71hR/vBIIHSgOjHlW1zQ0/lHA1LA3d0lt
FZexVu1N3oslhiUYaMWwi+y6W3CH3EhBIF/zQ6hHgtFcti0WIPvUUYtnid50BcQI96FhVHdxZ4md
SeD3PCRB+ZUMXEbgupenKLUn+xN6vSpdhQVopinjpQH0fV3BVHghU9ZutACBZAUUPPXB/uTnJCzd
rw75FozJBMg0TTnoIFIJmFrZA6wW8yXt7fpu0E2S2E3EwNTlBUpDp/DAN6eCW7HaepHR6B+F2aXP
pprmu9BsXD8vg+at57aEb8SR2EHcYWvHQ33sor68IcSyJsbT4kAOS79n+dZfRwqL6y8FJhpx1PJg
nsZNWyTdVptBqH6I0I2jcyTSrmL/1+Q1W16MOnaojdFdFLs8WXCgVN7cYp4dzg4AZBCeoYhGsSnS
wYE8kPZsvsk1h6k8WkquTNCyyZTFvV5la31wwbAF44s1pMYbMgCSpDJa+QaLqXmYOmu6A6M/vy1p
CqYbXarHcEiAkIWauw3KPnznnSRXaj7Pb0ETzR+WHJ9rpdrkoTwoy7Y000gXDmZd7kjJhhr5/Y4Q
3uQox1Brp1NSjCWGc9Y63pgV0B3kEMpNk7UAYPHJs7ZPqidhy3SfutqDkVTRrlSqyYNI23vsqdqd
FTfWnROV2b5VWvehVCvrDCFO9WE+uqqnt2ZxHzQqoGPGmnfFHpSDkbYsoyH1x46m+HXbc8tSlGZc
A8WpWn8MZPnNVopmP5VBfkuEvNmb6my9hrNm+7Nrxw/c+uKTHYv4qlGq+AVAfIFuZE+nJpmLl7kb
lSNv3nBl2PlwHYd18OzM2fCQxzWbsGKUd0BDy0vUp8zTWMiQa4QA0No0QgO97UbtuhnNxg/rabCX
vau103v9w7Xws6fGwR4H42ayuIAwJlraR1mU86aS5PhcAtFeOzjmvxLrLxLr39p0odx0zdufn8QL
ePGnJ7GNd0YDcQZd6dOn8+twRgsW1hTiwWibnza/H09iSjMQ0fkj9E8iSQxiP6+SlsUPrkLC8t/5
0/9glaTby6ro98FhW9VIOmE0BA6G2vv74WwcghCCRCCuk7m0p/1s4fZ/7yOjDa6hExhZRj+Gou+c
YEGbd9HdJELBvlWUXOGJKmoBWGY+F8m6c1vhN2am7tQhAXU/GgRP+uJNm+ZwBaP+ba6a0c8MaGJ1
Y0F2JedRBfElrojkh0G7LrNGeL0DFsCZZha8LkUcbJECyDlJ7w1K1q+juk39yGqPXV6yoLblU69Z
N9LIt1aa1ZhOfOIcW8y03BHVTEWkKm5mlJXCKvZcRk1PpgXEk1ahvgJQAQD++c2N6xvLwovSAf9H
UtEvutqmV52Yiw0skJwcZ1qA4am+GUH41sUsrTLFXrfTBwOU6YMiWveKQWg1y69GXTyVeYj4xmS3
E6QOV0y5BJFKjANGwdA7O2690vrxaMwyXuv1/EF0ctMV/VHjLNCIaDZlsW2MZl1DC6IQgew1Gxmg
kMZHi3kCkCS2fp5bs3EC37mbTRhCWJmwA9pwYyHKOwtaPk3LXQbGbSzi+xT2PHaam7JWj3ivV8AH
QFiY2U3PS9ot2Hp1lHW+bRXN2ThWedDM7D0HJLoCHndSe/cEUIYMCpUQ1gHhoL4hglYGrzysQn3d
GEWY3yhzO5VbzuiJK35CBGSOSStZffJFNw36FeoBykP3xW2ija274Wpw+GPZDR+MJ80qbkYXy9K4
a6foLPLAWTPFT5uqjb4NilUvBocXwKr37TzeaL32atREsov5RfIsXFlmY6ztUHyV+ngY1HB6TaMq
8bC6AvrCDuP0QKZM3ByxWd9A29jZtaOcyLPcT5IfC08qEn3oXAdjg9k1mlHJTL+LWjoIEstdt9ak
7mb7mxYXAnZM+9i3gEOyUuh+CsgmCUmum4qESwXhq9RMdps9ROQi+hIm1Uxgepo3zsDeAE/XVlea
FzkUu4KPzSp3iAsD8sFR0syIp2w0NSAZ4yACJGTlMgXKc92qeN4MjaqC+MEMohAMkG4jniNdwhXT
HfawdkKMvC0OuUnGNgJS1FU84CMr+dZE7XWZibe+oSMjRTZNpviMmHwsl8gPo/Uxh6jk6YbR42zC
QRHJyIvbfthWI7SMNmKQACf6lifOy2wXa6Dxe7UJX4zEKO9mBZ+dEjmwxHTzwVaiu5FNiOoOz1Uk
iKdE7n4eq2MQOuUxKJpnizoOGHx3imXtI8O5VtzmJlKtj1LM5yyrd0nBe3O2ptkvNTJ9AMlu+546
CxguYSeJtUXuOhnd3OPTY702fbOP9Li7DZye+0aebqiMOVpLmPzfMeNzzND/9mi7ohbxzwfb8t/8
ONggHi8qIVYIneow7vG/jRg4Wi1oxkwyGhYKZMdfRwx6EGxSusvSkdQ8wZCfory43nHBA8OwvquV
/8i2arh/GjE4zJgtCLqxdGOVufz5T7bVZlbl1JmddQ6NfD5VqBZl4xX0vghEgrCHcTcHnd57im5F
KThd7mhXk5rh1+5kzA2y5dp+5XRSRdfSQ74GyUt1UsQ6UDoRu2swMDomppliGeKCkM0B9XWZUvoz
F+zF62YrbsmpU2MudXvTGm8ALCMVRQplKvbiDejG/ElXO7ni2rBrc5spf3ESVD1mNGKbnwaNZhN0
6n2M8aDOrXRNYMQHbXObL94EiHe4FLArlEV2zKvgpGFjmJoSNW9xNpRlRsfQnoMWjNvifZCLCyJZ
/BApkX5PLh6JbnFL9OMM3N+9aCoCIIQMgoQ4K8rFY6Euboshcw419gt98WHIrn9uF2eGhkUjk6rp
Z5g2msW9MVg9trbF0QHRueV2O49+0lopIhnOj8msTRpm9LXKstKPF3/IgFFEEeMxJRa56hb3bxZo
X8exLLgxNBTEVDu5+E0yjCfx4kCRdf3YmVO2iqvhxAiJU2XxrIBDv6OaZ1MtbpYgCTihs8wL6qDc
iwhS1iiKc6wXt1U1rAK7PKKOrqIxzrluVFwj4DxhnxGQ1XgE9n5rqF5P+CCNhLLqy/CAyIJHAp8m
A5jByDDGXp0WycaZbGWjGC04rFnb4ESMT+o0b7UwfOpQcFdJ4UqUJ0P6ihVeRhtDl3DblVa1hx6d
xKvU+iksJt6JiXmcJu2uRaazxrT34lGjiiK+DQF5SNPwgXl1qLyzXAeg51hGKsGuToJopY7uhXS3
DenC+ChSrdlpJSElMy/Oppa328gAsGckDyTyST9XHszda9hdNAG5CfJY6sYrTL2bOM0eB9TFCfm4
U40XtaQTwY7NbT+kd2Ni7vOQqcoKosyLIHitpibueaPr0bEsa8h3Lhe2aBiechspLNZbdO/hURPN
vWgSJPR63kLdvo4bEwo/NhmzfR/tICfOjDjY2QmGnkTzCzRl32i7uyCeE3Z3Gk64KdyHjSDp2la3
nTW/AGF8rUxO6lGi27kQKFjUCm0l1O6hlyrqVyLYAFrRAefvAdLsWz7DQVFD1FS90O5c09rIWtyX
jbpVjOIygNEA62/cCRi7vhOpqNqjcmbcvpJ2qayMRG5GmT5JQQI316a3LJxHUIfhrutrsZx/YMeB
z/hGlhYbrlngWaqe3w+b3nScnaOLQOy7mrpF+qxPy/42G2zepHoK/ILtDA71YZM207WmiY865Vwu
ajoObPuhoA7hUGf0klna+IF19jYWlG1Z9Lx5WjpOWBimb0OPZsd6JfeDUBdo4bazKptW26b2ACeE
wI0VJLx1VIOVogagoygloieAYJLA0S4JxzcranOuOXm+Bltz1ZnVFY0rHwm0Ur8gRevVycQbCpTn
rKjf6kEcSanuJuZYSHf62oImaBvJsEIOPKJg9xsix72vd9at4Dq8D1s8Z5TDcLnR4ystyQ7THG3R
Ho8Y3G7iOjhmabyP2uouiOj7Gl12A0N9morg2lLK+9LBRQvatcJLFFpHl+ciz0ZYA7SlsbHphm2c
FE950U4re3D5zHKrN4OhXgNHa1eyHx7dBsNtVyh8pvOSv1wmL6PRwhvjrp10jDCZYxQrF2reJpmi
J334GBaqKUAZuc4ncYys7GWc+I1qbneXDq2+DvoC7pvtroxGeQRs/RGFLbTKxFY9Wkq4IRVfoNdS
q6F+6zXeDGVu3Zc1L9ggNMM3UyxfWphXmyqzL30M7dNgSb+Aj7007YFTJrf8qP7QRddzJsTGZB+7
CnsFq21qn2wOd4i76r4rEolS7Ix7MZh3ehk8RyjI2zqVHxnkASysw+hpw5zvmqR/MPJiXlk2qNFh
rHvQNf/ekj5vSerfirEsddoa8EnRtH8lA/xekDUNXl6uNqiyvw/56Gi1mvnDM2URSPwR8nH+o6mG
DuAbu6e6VE78JgPYXKRoW+K29N2G5f4Tq5W+1IT+QQZAjsU6STME7Z2fO+Sfb0tuZs9ujpPjGtUU
7zyMhQJ/9aiJQ06DZbyKkT6nOOT+MionJ1+e8mbGVB5b1Ejw2dLa+H4M22PijHe9Op6mAFdSGVlw
nwaHA07OB1e2j0M2ne3M2JuSQA/+RK9aTJDjyJBDD8qIM1XOLHgyigsRJvBh2+64ZYf7zXBoshg+
o2oyITgkaR4ifIO06YhNF8cO8ykkXgbMl4ljymtSMa2plst8tS7vhYXlRHSKzjIT1a2c1dVE34EI
+XTWefCEeOi3uoWFqml8Uw7vFu0ScVBlvqnZX7BJkFCw5LMF3dKDyb43RtL5FQ9jGK7PVii2jk3l
UTAYm4jJzTOabKdbvemDCaPciHjlJPoa9On4znPtPWvHa7WIKgbM9kWS1wH7kWyTZNzTt5hvtHGo
/brnWU2j09eQW7Y/ajkxaZMn4VLzF3TthxXo87lJpjdZmsEReQWItKlzOofWWskd7Van7tMXIIhX
0mS0Kxixt8OQHDWz6tnHsBjnoVi3G1DYUKpsySbJLqixMdQVjQ7gZiPWQqE7Yz/V84abscNdjtEW
RhSFFkGqTGSZbdej/ytaKxJM8qTKYJ2rjTyykky3VGC0d7rZz4845shHqKBFkyZVr/ATcZYMSfJS
1Hhb6Ce0nllgZrdNrVWXyNLl3tHqkSs7Meh+SosD6E9WAooQ8SkY0NAh346nrp4BO8yZGryPDmgt
HwJ1tc919YZrl7aOwFQ9qBO/+G0A7/9Voenpm3BYZWZLHHNoIaokJDSnDItes4Q2qd3gfVPDlCXP
2TKHjuQ7K6JODXlP8L/uSqm6c71EQYMlFGqrPSuKJSgKiQXlleyoWEKkVaZCR19ipeRLQSaHXrJE
TvMlfGotMdRZLJedJZpqLyHV4jOvqss7+3uAlShrsYRaaRTtH13Ay3sLHdKLlvCr4hCDbcjDjksw
Fi6vPzpEZf99mH8fef82GHD1Vkvuxn/xIF+Mqb+Ove5/KChgnGSxZgtUp9/G3qUp2zUNh0c5xRlL
DPzHc9xest4a1tjffLY/LLO0/y1sSFd3DCHspW/5H8i5GHP/+Bx3BIlxdmK0CQq+jcVS+9PUG9fU
ytizHl1n6iwCAImt+TpqauTszTrPw0tBN8th7irr1YrApu9cJUcsG0ZleAGr2jy6kSjuXFeaMwUE
3YBbI7fbp8ZAh4Xum9rc92KcFlJ5HHWDzXM4Cxpb4croo8WWnlgN/rKut+7DdHobwvmNw4Ty0vHW
ahyw2pa61ZdOL33CUaolFrzvwO+UGsB8DPWmQZgN676hf2h6S6qaDOiAdNjhdvQaDcg/8LiU8I2z
AS9HNnuZmc0O5m5YQ2EZgl2Zce3szdtMWrSxAfifgvHMABD6mBHfqry6Kw39FY6TweBcDxumNCwv
+jxvHUnhT9EXcmUJ8za27BNS9LOeJZuEiqJTVlNeGnGTJmaHCaOxNU/geIXXV3LhnpPbviofqEAu
rwzKNfANC0yqi8BXZ6TwBtEzWpKYxwU7UimSh+kpLzKgFOWzYXEINZpa+p1af8xNPQHTpr3Yabpd
2tCFBLpSS1qfkSDeTIq7EgJUDQERVGOqkqOY30EVaJgOegcvXs4/CeyFXu4Wj3mUfGXQu3EEjL8y
/UKzxb1VLCn1NqYVyQz2slxsKBWRKNOOkIbRDcLOOoULa6JIxS0OmntRM2OEpv3VKvLjPBm35eSg
rasOe6kc82bZL17acDzmUlu1y+YN28M2lQoIQcoEVi2FtJhwHmOrSX3LGiRHnFxbJdErEzeCMgQl
CztnIyq7P3d4srAoN07r1WLfJhaOzyUtUifdzdz3lgeu6JzPnM8VNZB+PHUPJA3eg34wd9iGOrwR
6gaJ9wkgwrNN15xea29oIIgiy7eh9rfK5GyqYL5OE4lfVN+4wYU3a3EWfXdK3eQyT9arxDe8yROm
+hrUGFN70u7Vcjq2Fm87zYxPBbY0ZwGi0bb8RNmB4sF0liuNevGVUstNMiT0a2bXhlsfhWtd+gal
oV2k6NAWaAbVK6XA1C/qDxl0d7RY+1D21vWEDdjLre6ouMEm7KvCZ9F978T2u6WMV7XVfehBdt+0
9h7YwynuE7oyI5vwDB0d2H95HbB2fSVQwkdsDolgj2nnM39c88Mvm7/ouQJQSbgxu9YD7VKZYlO5
ybuiIDkv61A7SijUNrJL2xXOKTeio521+RP3uBqrKuetoubpUUk7UPgRQ1mAH3EFuuttCIKEnUh6
ozXBc6oU0woiBksJV+xcZz6leXvVaRjAOvECi/utNaBbm3zRgRmQhsI0cClAbq+5H2zpLtkZUKo3
MmANY1rCAzGZbyaGbKHDp+dBSwgvOtBdYBylVmMdHxPiJ2Ov4c6dc4q26Q+kALRqd1rsPHUZ5Kaw
gJm9xJAbyBVquyXMi+yfFzQ/jkK/wGWHKCm1c8QHi3oOaV7ndjZ7Zl/z4rT2+DRXMGxrTUuPrHXN
bcuvgH2wku40m515WeKB8MImCBkzrTbatYqhYC+L+NJTqdICGWP//feY/j5zoRf/dwOM/5H+z5mb
6cef5WmMqr+e0zq1eyw1Vdbv37ksP53T4j86dzxWsj/CeD8O6k8HDNYYFRDSD1H7hwNGo/ZXBcbK
EW0sJ/w/grJwF/jduCUI7pnUuLPldzn31T9YYtugI9475/olp7ZaTeTJDpOV0U/rn34zl+9r3P8B
TXwpZN42////6Z/r29/Wu/wkgDSXyRIHMMVG5h+9t1SeAIeMkuFiUha5byHsi7U5d0sfoMRVCGtS
GWy6qdvi2p26U5WUD7ZOwwoaElRVikPWSa0lx742XZ+rLu0/Uys9xaQTEJXleWiQEjMn4pOOLLWK
mvSu5Auu9DK9FKpkWUOZrOdUeuU7gPKRhLOFS+ccK+jSbqzibyBm7KPK7QwjyTeB1W9QVFq/I8rn
N9g+Sls8KY595YrO9fgxn3G7FCtcr3e47m6VbDwrinluJZq5OkgIvo67B6F/HoIs5KqvPbCAStH/
ejSpZb3V9e0NJP7NILon16k/kPZfw2zi9oNFLulsdqeTvJD6Plp2Ru7W5lhxA1i5JO9XRl0/FFa4
k0vePY2iI1yud0oHk02fcYBbPdG/dLGsKB2nWMoxuNHa+VXLYErOIr4WDvPTJ6kPhG5lJa+drT3U
TXgFQbnzCm26tatuy9C/w27KkcJYxDdqAK5qaUKJdPNOmUrk8BZFyHZf3RbbpzH6XcUw2XQi8XhD
+A7mAV6/eIvh85uDEunRGXul9B3SFNRSv2IFrtnTWafBd5zYuQ/Ujm4SLb1QiRBv4Gtu0Z2uwjAI
vVYTW3fZR0SLrUexzN4vK/cVpWCH/f+2yGFjGXPzyHVrXoXg8T2jTe+aodtrZtL7taF+UdMp9MJh
ekylNCmvma91ENdeE8VsOeb6q5bqX/UhZbWN5l2k7p6Amcaee9hmiXmT0XXENsM62cacr6w0/wIP
FaWriVYQR+7ZMMc+94ZkN3TG1gZzoBvBxskFoH7eYmRaBJWQuKGqtzwuQtDBAFenFdsY1icqBa89
la811RBiqHJftYeN5gxwjap6PKSpSaBigr4ZYLYUxtdBdffSBH8y471F7yv7x8Q0WKLAvVQ5K+Sy
OB416Sexvjcwj2p9cm4XZ7FTveGTuNUS5QOHHVcXdp8F78b7SYdKEjYtAZrBLwaOcyUzMxKU/QkA
beErCCGmTPJV3/RyAR4NL1ZsN+sxLK9CqQarphzxZizNGM2pjMmpts1uGNpnip+4naPu97FKgUhx
lVh8ZI08ubCtZd+i7GfWG8gFUbSexynbxD1ltwPCZzxwOR477Zaqmu1YtB8JDorVSGF3bpXPKKuk
3PaRqOksUXaTZb+Nsfo6m1OyslOuulP6moq7fmh2U9cdyoJlk8IGH/QL2ETV50KANY6CqoFTvtcB
WmoRToC57LeGHbcbVUv4ffbidblAt7AJ/EDhbi+Gcttp+fVUMKcUMdUjk3ikcM+5KhWqke4XFSN0
RB3sCp1l0f/1GP19EHF5inJcLMPegtNTtT9igZumMUQwWdNlQGb2xDY4jHfFFahXT3nLn8p1sidV
5gVHtvydH2+N/d8/xpec4+8f4nx51+bc0Q0ddPIfhro66Mxesbr50ttvZbB3cRe646tSZN9vFFQ3
hH9ZHv9XX0dXNdXWwPkLbEe/Hx7dljNL0lBy0XBOInXBG3HDPQ7C/+Pr/P70+/7r5PfJGahRNkny
7fdfp8LWbnZapF4s81hbhKAxOounv/+dib96zX7+Yf7wRbpIVRudePSl3zSPROfW/U79yoqHbOLV
UnPq3dZr5reNvns4Qzb3zv2V3Dw262B9Ex8Gb4cGd2p9/kW/2PC/9ePff3/68sv844u64NhswzRw
eX1m/H+a1FNa1rDLqNoFguc5uFHX6pX2FB4oJmMz7E/e4UXbjqtztRl2prnKjhiIbkq+XyLtq89v
5d90lcpr/t8vkpv6o/krk8PyX/2q9lDTYangHKBz/WJX+NW9hyUalQf8lqXybyz1qr/JPfx/DHrY
rz+lIP7CH3KPiRJEpso2bTR4PgLin8g99p/dey76v0tI29aonzYNvomf5Z4ko8B3xLpwxr10CNuq
z6/aQZ+sVZz1JYBKOpWRNoYGbOUnwbJwF2Bd8Um2bOOITVhzRx/Y5EdNnqwGOJgInj5PfM7ABZFZ
aKnlFW78jglbcnwA0pyUhhIgqno0lw2blSovlE/d5tA3h67QkpvWLqO7JJE7l/1TbiMbpSBdQlUq
5yTInQF/Q7WuMyV8mco2ugRBJK1LlE72xcwdjnWBw83wLIJYhW8GmZrfW7ZCARjAmmHdjFqAdVtp
IvnYQWSi8C8ZnhL4oga3xWJHP3s87XS1vqK97DB05q0ZiskP7PxRndP7TkiEn6j8oi/JLivq0OJB
HNZtDNjGeI+WFqdaEWer0wlrjY9dJM2VQaJW6RVfyWDBhEugSTDu+c40ELPIbbHWBGvDwHC4kSRE
TMy7xMHVG9OrOinyq+7a91knPlTBQrHJ+KWYTnvDyhSABYGi3cDfj8GkTF4ng9qpZJA7deY2UC2X
uix17qtU0zdFnoB4pyHQG2N9F+HhyPu+9rNB7o0IIc6EwOvR3zWT+03ytR5XlM2p08Eo9ZtA77LV
bERo0ELfFQlXGt1hY+tOo76fem0BR6tf1cL1na7JaN8zA8JCzTbL3bcwKo6Wax8bhAz6UBWWG7N7
Zwdpv6IXdjMGylfTnTepOu4BZ5zDmsrGPqj9sp6tXZYvinpQfmsL7gCWHPCbKNmXIXIhzk/5M29p
vDVub++shQHH2+uGtFLrtU5xbs1YASAWXKgTvDFZOXthpN0GpcLTEbQS+PnaXMUmWiHvN4SU4rmL
ERyKsD20vIJt022AK8rtaJIRtNSqWKPJ7bN+uh4r80lr2rPbyvsYM/1Kqs1jFka3Ee1ixJAw14eW
sofeY3h9VN9OdnBPEOFmrjo+IhrbD8CPoedKCWK/Di5YaHZTGihshZQvdaVEvirKhPoRMn2z5qYr
bEEZlSQNWyJV+JSpzYeitK9j+vA2BUz/Vdnlxirr06V+ZziRt/sKpPIgOwS2upFXVkwzi1TtI1hH
DT2QgqwJ86zGB8AXWvxWq+Wwmdz22q3Fc69E6gpYLR6SKbNWUWd8o+Fk9sDV3nYz9R6djWkU7KS9
LIMpK0OfS/oHfVkUK8vKOFjYXg1b5HTSZyhJ9rO57Je5Le/7ZeWc1voey7LhG45zipa1tLUsqNVl
VT1U8bVkd22xw87YZZOaUBgvEEsH9twycy9gtKuNtazAh3JgBlrW4hX78WFZlKtszAM25yCAv5CU
2VcDThy5LNcDRf8QbNubZe2eZdljtizidTby07Kal+zoC3b1JsKT2S+mSoCithitGyN2Shv3rjpR
/Vq9GwMUUN0ENLIgDRavA7pau54TMHv9/F4b+kvluMbOVZFuS9e+zF2fYw6L0HxrC7MGjlIPfOkX
UtHNXrXbuyhv05VTquluUosJTnoS86w1XktL3LUZZX8DFV8b6moHnxq/2I/LEhCyVM89WcA188NH
P08kQ0wQY7He+0DR7V2S5C6QHZF6bldhjVVRBQcxfGGIy1Zag11MDQbzLEdT0ndZjQzXeuQbenU7
5JCsJocEqEbRXCJpqzEcCQfAmHxJs4I/xVF5ldnDfsqC1ywfsWQr9N1jXscmZfBuLev4i2XnyLrY
cNZmjg4pjGlnARXeF6XYJMRFfTTHdOMQWvB4HmLuiavX2jFpSlS24RBsC9htNzDSLTRJCQy9GVSP
YdXdjEqOLRimx41FfcYGqPyensgTC1YyrlnsbAEmwqqg7AoL2TQdoq77moBo2CAOGge9NIijku7D
CBrmuyjP54cZc5ovhknZmItyzEqA5yp1jJ7Z9nv6BRebnIMP16TiLnUPgTsfFTlnwJ8B3QXJfEMv
nE/n552joKjODci/qCM72/XTpeyi+1xnxEUITjdgIKTXRUrNZqT9YlWsvzNLONvRQSqZNPbToAlQ
h9Po0kqUnWBW/aSQ/bYs5yN++hNwCx9P8KVnZ7o2YjIoVARZNHXWZ2qevjh59o59hZ2i7cIrpAAd
MogJScCZWJyEDDgzOr2qYqzqkrciUS5pLe8SSBYrlfv8Oq41C828/EixK4eZSoGGITDbS8FfKfXc
H1L1paQX1es7eQ7cjuUOjj9/qOpgVQTJMXcw78djHD5WOCJJ771YUPU8nY8utavfCE29mIYCbak9
l59zd5t9CUzdXdP4mdDTmT4iGqMqSaZqXVFuZpWWEyWVVxo7agAWyTFlv74SnKmm0vMA07SP0Wl2
dhecnGDKtjg2D7jMXdxgiheb+VM21edxsVlaE36+mkJSXtBD1WhHM82+KqXzjc0V7iYYG7QI74Im
/kBm2jRsRrYNDaVNyZ8OhfKoxir1xccsBlrX2SRTkze3i9+pNVyVPfaFuLb3nSRja7YOPk+rPswN
tiz6UT2ZgWyMYYCOM+9nGejwEXXxYQDM8hDc7mQc8i/zAO/poZJ1ymIIlhGZbyqouLm9cgPbyxFg
Mjcd1BEL3bvIVh3NZlbl0Gc1PGkGf3k5Flge4mMCvnRrZO0Xsl1PISY5eldAsdgZSdn8UTM48Nw8
3JoRXrnJMc5oGA/1AAUdRxuc/7K6lNI9wU1GryPBzW6NOqrY1NCfsIMWI4BCPcZRNmQemDkspxCx
UNr56OQzUpJRw6bsK340Jydvwb3Tc1KJpYDqhFzUWL2iwzDF3yLNlJtwcK4nLd4W87bBe6U723rK
fW08OUpyH6U94qKgKxrBdRvHPQgZjG8wmN8NZ9hYQ/juWPIk9A67fKBGvFjVG5STpcCUdhYO4r4+
8vG5DydgKID8HrXSJliMLaKp1w5tXOlOL9J93yZ+4BjlTW6xayNrJi2ivViTlaeoLwp1BVymqQ+o
SwM9FnLonZ7sW69MRKTM11w1peKLAJ0iJCInaclNDgWgF29MiJsBH9zObgjZscDpSReEnyf49aQo
fJElnY8V7DlwtHmdO31FaDHU6AKN6UXP7wZhEeYwxLcqrp8w7plexsVLCcj3uSbbDlu8Abu+jJKm
48gm4hHJNsOeyyckSQTmkKHHFQYhk+OEXUWicrA1HGm8fstrx928c0lbuNGpqqGVpTR5jK197lt5
7Xb2aTH6eHkTv2nu5DeuOMHq5nZTlO+cLRM5F2qDcuehkVIc2k79mClV3s4xhsSpd3bswi7/y955
LMeNZdH2X94cFfBm8CYJIA2ZzKQVzQRBUiS8NxfA178FVUmiWCoy6vW0Jh3RrU4iDXDvPefsvTY0
BcjdS3A5pQTTtkh4ZlB8bUS+1UBTuwYWjHXdmnu9Jlk8HfyiA3xg5KXYsu7uHUFDbjLY7Iy2RS3J
E52oXBBaj5vq2TLQpUHYzuZqrpJNpXLadZT0Ia1jV4+OaYUAx0AyN2pMroGSOPZwINeuhlXbHXMj
+VpNDcW5Aj5iig9lKB8M2GaMhQ+6ejRhtpK26jWNFJ4McnlLWvWui+L7zupuKqekIUUuHpmho2ld
0X9zOfceplp9iCso3K3EypiHu3my5l3SZw+8wZtoYTxiJg38qKuQuOTSg56Xw20+D+GqrJPTkTxd
ryWCBEnJfCaGCfu+qdxVg0yHLL0QonhMKxskRdtxJzj3mVGSHBrd5kTW/zcZ+suOR337zwX9Jnsp
it9MhXjR93peVf7AbayDE1u4+oyG3kyFVPCN4PvxwmFpwKr3s54H0C3D6v8B2+afvtfzqEFslb/F
f9DLWozM/0K+oZj8pTdNIUM2dLzassnftG1d/5svmqBfSx172zmqeTPxAChzhfxtcVhpUhGpvhER
JPvgLCYs5HP4sQgeK9wZj5aZOPumcFK2i/QphTg7LUN9tQvXk47Sd1VpGTmajTbvilGr/X5wLihT
X5coWpdxOduhupEslSZ+TK1CHkdYbeyC/aWStlKcPRnNSFZhUu7DRFyk6jJp6RocqOYW88VWptxd
aY1wY/KoAKNOG6ZfB5UTUIzDgRLAyNa9PG0nBR1cISlPSa6QPjQYu8a27ird2s2NeGY9PMMflxl+
wGe7dyBQdIGJE8EoXxpk1CkYbBIGOyK+5LImYE1a03wuXHVQEIiXp0NKWSo6GaOTJjV+RWrSTtZs
Pi0SRa8tcTkQUGrPoEtE0pLKlOqNr9ISiHR1g9wlXDepxtbdhJafCOXRTulyo571ap2UH3IH7vMx
eEBtyKm/PBK0zCQsD4x13mJNKORiJxCzURi2nALp43syuo9Vmdvlplp0e9S+uWs6Do366SI30l0L
2mWFi+nrlA/2SmZswT4TQNmm962F0yMOS2QjivLaqdKJMvQ7VGv7BE4sxwYOZgNQCLosvdiXcBnR
GFKdj2a3n9PsJZcKccfveYr+Z87JUobPCaLiPKuTE3BcVwLgFeiZNGk92t11tJfUomcbi9MwXBHB
XEZI6bvUqQ8jyo9d1tp4IYwh2sTEio5QN0kYUTF9nVhpOWygpJU7vheS6nQZqBqwSucKH0ZPAuWk
jLCwS9oBgzERqNUYeuZl/RhuiKsk79QqGnVvZVl/a5emvQVwJ9/919/8Nihfet7/vBxePRaEMq4e
m6fH5jeituXF35dFDFsL7JFFT3esJa79zbIo/2HSqyRnAJ8XCyeT6u9tTuMPpMwGumHTee/l0hYv
lynb2pIVjDfsX7U5/7Yoon9mAkP4o0pasqm9c3JpEZlT3ZTrhyh/mNvDON6/+Vp+MyXXv6nifvbi
WXYd+riMVjSFdZz8o3fj+D5o9Q4EWn/oZ8NX1ep1qnSIQ8ml0XSvHQaXhqfOA4tSe4pU7GDzbolq
93uLg5EpmSXUPW1TWEQqt5i1gP/obfVVyhTIss6+Z+l02y4F0htlR/yrRrrXhq7WjmEOhgb3CaIg
vkQUNXU+rTUMQSjGZGM3Rm3wKgz5TNMIKPcYvFvgf+Lsa60uWlpqUl9vVUBacijdJVAkPSfVn/to
zNedgl1NTyNS5h3xDfJ/tCpLIkeyuXOaUPMVdUGZ67o4T8DErTS1hIPR0EicmoJpf/yQqureUFVk
NPm0F0iRtllRbgmtnb0mqMHCZBsszGcoljUQ4MWDJAsIv/r4mqfSERsHWYX5PK973fZClF5WwolM
JieO6XEqS9ui6k+6Si4JoJkuxtQ+SWaWiXBukCIQEmtZj4GCZg4uzjbEv9yn8WMHMhIODjEzhr2F
THSUZl4OSDYK1PuWvHmOvdu8NvZ6UWPDVYezDBmQmWt4t+qtOdWooHXnSxLP3ZYl8rwJSrIb5+gU
8cB9VZMYNUkJ3CX9usuUdHFYpzQ79Svs5SXKhjHyezveTVlNUEVi0JNKzI1cx5gKl0G+7vgCOQO/
xWJH7YY1Uu6TEQSZow+3eqnRBzIOZmvet918TGOUdTkGqH4BlejDWSSaXTmJXTgmVC0MzHNHbLNB
7CM1uzIJ1lt1SXZLIfMFlsStGfTrssGMPRtraWwe6J6CSeocHE3tfcmHV6d83EjT/DVFsUlyodsE
hqel4x4muo0WLyQreiLRFAQxJjALzZ9pPfAUrJM4uQ8D6uCx7ZK11PfcNvXrVCZbe+mRa9VD38j3
kiRftdZSlASJN4yOKxvZ05wGF2lOrkA0hfs0aVLaqBzidckiL85xa5opLmATwF15/uQoyE8kdkXf
ni3jzB7b4iTGledJFVWBYV4ljn7XV224llREdjjgeXoScSUryanUU7aqtSBXjxAEcFfG5WgjHO0x
8Z1C30/ZBPHPO1lFG4IsLl+0mECR9/uxYX6RScjyYJrYT43TUeFizChXQ0Uqn5fDO2VQMkm4q5N4
iA9jE5v7ujIBnPJVrGjZY5yXiNVJ2B89OJCI4nqJrPQZ0FXRBQgibFomZENisTYxO0aTuurq5pSI
kGOlV+2u6LFsKhqzeUWt2y2Dp8QP435vKiHVXVoVgF2MTTDOxLiOqrLq9azyy66Gu5XH2dECz4yI
TmqRQvKJg6B6NubpSxNoj1ZKTJCmnCU0BlxHQVw4ZdI+SEGHKhkt/tQ0RmSCZX4Fk0biUaWHf9un
xaUYOLapqnnUAUizsri0WTzNUqDmVsWpVVssiNSXiiUuip7TUUWDjTXqJKyDbcZJMgERB9tqnyUS
oYzRmZzJtynKXSA4J8KBeV+M6YOeBMaqjbFw2IF5qnSAewJq4ifYM6o7Q4ZgqFKL/DpVcrEeYg0x
AEpcDTafG9lz6s9x3JzNdnrQ1Gqbop5QarN1M9QRCGcKklwNjyVvp6JSxk5lNrtsGm4W/1iu0mvB
SZt5ANEjH9dH7rDm9JACzBKRwTJQiaVXUkJlb+rh1XI53Wvo3h4JrIU2iK1r2A5JNGwKsnw3LP3R
bVBzBbXProscbyfDdOekn5rkhCzQQ4GGwM2Qj+96khdRwlrXRl3Sd9JBGqJMZHg26UGwNtL62gym
a5tI90WtQWO9L9u1gX56ZYlx3cHA2dADAfQ21SUaazA+zWD0d02c2etF9U9TMxagCPSoo14v+IlF
tdYQpXpTXt6bQ7UrkNqO1uT3LezFyTpJ6+lGjhJ/4JSHETC66TMVXkTtnI7TOOxKKWm8Msiw1/SJ
IL9DvocPSaN/1Ou73mTmhdGYSULEjY4flTDTQLtTlwgFAEojcFbEyQmn/E/UF+/UAktGmg3KCgWb
Ba5KWfxRb2ecap5TL4VJcehon2NN2SEavhBNu/74FKD+/joUYIxuyU/82yGgs2aQGVFxyLPsrDXV
G1alc5sMdJbLZiUmhx9gyrbDWIEMTLetGjH+UFFiF6esVHuDFPgErXUU9JcmaeVahGDe6UAsBi9l
D5pn4hHQZ/tgyiHHtR/nut8cYH77ztGGWAo1I/Nq9ddvyMj7ktCutDgIvJbhdC0nuRuV+48v4lAb
v6lN8RU4FM2ICMkx4DviRv/1KritSclJ++FQhVGLFkzfaSULgxzU7BvDQNEmDXcSEcMXhcM96Mg7
YYsFo1+xUGnMz5J8HUECvOgjzbkq2JXAnhwkWcl4SjCrGoQkrowyPMTgNMbA4DtXeW7MHDr+5Bjz
paFkjynTFoXs280sUB+3iulHWZz6aac9S426Nka0i6xKdLF0R3HLWtskCPfwqgM7nCJzV8/qC17e
x5F+XL/MtEcrO5tIlmUeNklbWRHJmQwtajWPfUR7iSDayCHAR4nDL0Gv5Ne1gCjoKATo5gsDEBX7
lmaqP5RsccoSrJ0Q0kJI9BE7XwHOj4AERcv2gfzYY1SjlGJdvLelDIcp8dNTot9n4KX9oirI/oZ1
olGpzjpHD3LwUs8K8WGPUr5tupwGojKeoGB/TLHoPSMj3MhMIUglic7Ucs5WWluvY63FckembG6a
2cHpFZgi83haW+2fgZD/qBVSfns/LPw4bgdbVjCw/Ho/BJpUQqQ0ugNyokeNsF8PFVd2MKW6hV0d
PRAzCxOMib5iMqCKyelhRT3jW5mJa0qtLaaOs44MGzGrZ0Zp32l6Ea3b3KjXuHIZ1Roq1owY+zgd
W9uXSx1THZu6xwgWNWkjcR5hIZLzssDiVl+FOaxUJWoxXyyKpQ72e1Exa8zn54bwA8SxhjsoJT65
HMCoOnF2nkJP6xTPJPAQ95yUrhph3iW2uROB+hWzLJ0HwTIAM8YsxuvAgekF26UGNsAIizuECeKk
XhnDcJYm0VUd4zuxnI05dXc2LVzkEuRzmnXPWbAe/LYXA6TYliFAInkyiRkeQU+PEveEWznavaJJ
d0o01F7dIY+LLBmdIQ4KaSwRGDQbWU52ODR9lSwGdiNPT+F92ja4WLokQhlatnnQL1l3DXDo4GAL
bsvpURPyc601j4Vl+mRMnUGq89IhPZbRuLcKcy1KnVke7NG4sFzViS9IEE93kz37ZTv5ZhZAuvnG
sQ+pS3gYB8m5EHX3GlsSMRqT7Op9guudwbjZRoR2ADdQzL1J2nCs1fxKCqkZeji7IPcr1LW0GRS0
BYq4LctuFUoIbREhojFYq6l0mrOLRwL0uJLdDxVCfUQOeHsYmSvsmlkg1uimIdznWGXAqnlZKm0S
YZ/OZHVZTgx+V0Gp2MosujO5comCOYi4Mvrz27DoINPV+8I2OPV2mXTMKghNU2ad6CExVuglGFUi
K9CqWHGFnGyjSpxJLVVChphGy/0SaTAOTyRrvoV2QtiHfFybDPD1LTnit5UMay+Xz0yjafwx0PdJ
JFqUEAHmTJVgt9ZQFNpnQbERA4Qbzg1bMOWth4By2wycQqwSV48VDD7qCeWTre13K/ebJ1V7px9U
I2dKnCrtD+TD0TU6Y+zrjiRjB+KYNmcKFcvHW8U7adu3neLt9d6V0yrhfFQXrAxl+aJYX4fxcoFI
hXdC3358oUVk9bc9CT8WbDWkWMQhLzvjGxGdaLuhTvBhHmaFyLwqHttlQndttGG5i0qJew7kclXF
8PNp357ZCxnJTGhRzssAQPB33VaRXuFhXoyFRtyY1n/BzHosZesq4/hG1eN2rbrMCGCL0UzNu/gB
OPWtFGXVZdgz9TCiCDuJ0Z8aNCc5WPiTQtoBR7xNQeTBraM6V9VMvrdmnPRat4s19ZQ4xJ1ROUfC
WU4btm1LSk9TFcQWIluIEi4cqdu8avw4C3aiUlZJNtr4i/LHWZ4MNxPhfT06za26UNPUVgs/+VZ/
7bf8udG//VIXmeibLxW4WxE3gAUO9vgQzU+T/ae/9B+3js/+/ruNQ5YyzshhOh1i+6pKiLPTbj65
LT6+K8x3919u5qmcEll2MNTzmF4qX5McTX+qJv/xUyzfws+e0fdviZwnjqQKmNV3t95otQKVCZ8C
KpvaPXci50xyE4/WJ7+G+us9vjSnDFKC6ZfT/OJoqry70JTEBUbKCtbYSnlmU/Ous3XgSf6wit3b
VbG63ZnusH+6JGnny+g/Zv70xBPdbj9TIatLn+39J37zWH97o2/uC2eIncoJWUYIP/JkV/bHq36T
X0Rrx6fP26yVDd/zGnD3Sl5FvuNVg68fiudPftvfvYu3d+c7kXIWtHDXYJIc7sad6lsrxqnn1uqI
jyHyNreGuze9fOMcovW4La6M7TXqjs24Zd1bzZvSWbUerTPP8UDAbYtNe4xW0YjG9ws+9wNUgI2x
c3blqdg2N/n66uO3voyQ/vYFvn3r707QktrGWSXF3JcrQiPX7Uu1rq4Vr3aBOnmRB29knZ+Um/Pn
vd/vEEmMbnIC5OaEVEaXzcdnFPI1cL98/K4WM/NH78p8tzvEcTk0lsm7inbOKnLnbb4JromYSN0S
rc4qWDXutMLPf6i36gONNP/j6y+37/u7CpnMj+fo3WrDUiPBrJrGgzyXviXE6SyliKOAX398nWVV
+eg671YdOyZgdZgz+BOM8wfxLI9bYT5Nml8jp5eq9cdX+/1P/eNTvS8mJaSPmlEn/SGyUiq/yyq8
+N8u8K7mg0CRmSYD6APoKDWhD+hY3sdX+OSHsZYH8c3jDtncLsgKmg5ldWjxQVfq3dzbn/wqn31P
7xa3VsHiPGD8YMy0EBgwd4+J+799jnc3WF/ObV+0gEfEMLqxecjT0Z3z848v8sndZb1blcwglCaa
c+wGIwmpDvGNWQe6unexMruJUA8DkuqPL/nb38dAS64wZ8Fo9u6SNoL1oIq7/qCjzUrWKQk+qbn5
+Bq//XneXOPdQ5OFiCHAOY4HAzi/JF/k+Sddhc8u8G5JnNN81JKyHg4yizbN6FTLPvmavu2PHz34
7+7jKGboE2Tcx9QGq9pFELJNzygR3JPGjfzw2K/y04+/tXeJJ38/Gyyf+s2jo9D/Uzo1Yo+6ozFc
sKqeQTAgTPhR2c+7YXUOm59/WBk+cs6VfSGtLkm3Ylc/v6/PtROqdjicBFKstsT5bj57e7/dyN8u
ue/vnLgRshLw0CnHZSOXVmQQ6rtCcVfpRvdui9WJvJpOX+UnirPmZjoVK/HJ6oVb9uPV+N3vPkgt
4DAcp4fOAyTnwcBTge+eZt6lczD32qb37oGkrQo6tutmgxTBlT5ZoT97C9a7fU/C0qYXouoO0mm5
QgZLlMxXY6141mn/Mm4rP99bG9IUX+GduuMmPYZe8vLJffL7rffnLvHuPkmJSQASzK3ZrMc1JMJV
vJzqdql7PezG3Q5x72o+oGW6hRLj5etqY50jRfN6P9qBen34ywj0j0dabTkY/+1R+fm4vzea2RJy
Y0rl/lD7+sYEquyN63k972HirJ7DXbBOXXsH2HhV7kfXuvHRL/ITdZt0fRVjWSLf1v/2Df1nTVpG
0D9avN4jg/qXoou76fCYv/zf/wNr+qnMvnZ/FzMtr/s+tcfivpiPFhi4SY2wsGB+mJN0AOIgWLHl
aDo2eJ7wv6b2OskQ+IVgi2sY/MCjsq38JWYi5EGWF17qT0vTvxAz/bo9AX+1l2m9Yyu0Axjev/dM
dv0kyEM3xDlzoBCA2HRZtp/tTt988m9uWIyZsoFpwjFpSC9huO/WdoVs6CRJ2+pcE7jJW0bDLf7R
SFML7TySmxrpTmmO6cVcxqZ9iKLIukPco0JEkY3JhfY4qtClKrcdy11NTwzkhG9qMfMmBS3/rLnT
lJ0HhuRlpbSbWmcr1eVVJ2OlnSLFn2vrcozbbTDVkLfoBxUx7UR4fSeEGRwlO33KpvRRCkDcVNUu
yZI74oVQ4sbRMexa31aznRUx11HG5hVZ8qZioONliI02ca33roSTdcGKbOsBeWhPrgCRfbXWuny8
u9CUd7LDIFFTqhPicF+y1okIU9dXdOlfAkbr9KMqIihlegd126wBXe+DzhKeXTQEaguV7qYlPy2T
Vw1erafoxfWghCeBqt40I8IcNe5uU+g1bjSJ59bUTya9KdZ1Up0V0SiYoVrADOPAcIOyuWriollZ
etn54aSd5SF+367VLjIB7Hse+jsp0WB+WaPPYCFnZtK9kj2HcSJWob3UJRwE/dQSje5XpDitsrRO
tqZM7xzZf+iOSV/4caWCDBpsRsrVfKvkJcYnPE9lL10aQiKiXs2uRe4A27XTe6ludFJ9q50DmO6Q
dUJxIyk9aSW6hLJSM860w33YPXP2WDs9su5cqK4+1oirs+I2mAfdDWobr0ionDR233jdYG2YVD/T
YmI3nEjssPRnu80jz07iVztH+Rrq9kzz1rkOa/NVj4WLOOAlrvH3KC39RJWUSgVuXBnm54PaPilJ
IrvNMoAEfLBjiIGZZ+jWsW0yGNHwM+ttJ3xdkplXFv05weg3Q9i3rpR18LOjZrGdXYVjV3slFY1b
BJqf6TQfB8Rr8yKscuzkSoXsTaQ8amZnuE0JqcA4bb4mifNgKOkSL4QDW4OewigvSs+KnMCJMIkr
l3XlJpzqq0I3KsIqkapkluVFZSS4WceHIcmW3nhNLpTg+7AswKxmgBsf6d2QFC+6Isz10Mg3aZgh
MSaxaJTAnQ0hqFxLeu0k+16yJ+Ke0sjlqER3dwxKZ/Yt4gdUv9OmdFd983ELvWHMXPFtOAAh6msj
FEwPTJrrlZOlN6msOTtjHpNzUxPXda0iH6tecsIq47TKCP2qvipdjaMMf4nfdxhhUkF4QBMnt1CU
vMwMMsT+XwrHHzdTNCX7vERqLkmXTZ84i0gQsYcXwH7yBvrMkjWWXuMAJ24z9B+4MdxQq/DIa2c6
wQfIKDkuWORg82wu2VaHtrTuItt4ieWxXrGsARKCKJTTpx+i6RQl6iOHkFPRxQSH9fchWOllzbls
CsUnbuuyVLSdUKTLabI8Uwq/qCnqEdvAlCmfOiI8x1h9PuXR2dx2a4BILomMX9FZM8O2Ei9FceTn
geSmxGBZbUOYJQadphoOFiT3pobzo82zh8FRYPBklJHYEjYr6Th1zZc8dlI/UNuXlpxNtR5vpfbF
6LkTB9Naa3pi5W4AOj5fOYFAf5r0kyT58jBZX6yQtJS6blQ3CUk9M+yqqw6ppt3lpU6i1kxY5VCE
MAYT1q1VWurVtMqNWdt0U9mAIkZSaWv5l5SZYtOJOyGyL20t3ct5o13IvTGfs+HV6yarH2tV2UWN
9nUM7GM9U3hlTugVOQYUA2mUF9cDZ8Yki9f5nDvXem5PZ2EeXcVh+IRRUHJFilykQeONTrTDvl9g
EdO76L5Q+RVFdE1fJPEcTTrph/auV8oZhxAw5WBBMpA6Q3M/Zu9xnZQ1gExz02v7aj5KnS1dmwlu
q2lyhB82hHzylLe3gdP2nt5Z+Zan2fbqrPN0c0BaoHRig6mkJGujnDaikCOEmqRbhB1mO9wzxlaA
p1wgrufwIi9bPVp05Ruox2hLpYCEWVRbs6lco5K9a5TxKjQacwcu5a5cpF9MX4LDm7PI+Z/b61uq
zFIevNt0oVTYy44LT9hYEHhvqxsT9BEgmro/L22Bk4SYnGuTd20g9KUz/vG1fj1FcExZRNqmojH+
R7MNLODXa7VtSci4aMW5HfhB+qWeGCF/+d8usbyFN8WayOosE30mziseTDKOVtHwoFdX/x8XcdCI
W5zYFPWb+ODNRdoIvGcC7fpca65rTs8SAay7jy/x959lQR39vMS7PsdC7AoR4Ilz3b7K6/WcE6ki
wFg9JtMnV3rX7PjzR3lzpeWdvPkwQKqN3Oz4MDV1m1LgMlVP+hzPgz/kJzOF1McfbHnjv95vCiRs
FaShDD8XTdSvl+vCBB1dpwjEy3fKMiWDLhidTvndt8v8V2solHn/XGvs8uqliR+z39QavO57raFQ
UCzsE+cvcwTP4fdaQzGhFJuKxWLwLS6WV31XCFOgoACWOfzzQguw8I9aQ1P/MOEX22C2qBJoRvwr
hTDDsl/uEbQUEC+Ro+IKJj6Cp+DdOmFFdVOMJH+djVpFUqUCndA6qyygVK8y8lSDoxah3uzuGkbq
eYtkMxUFx+WEFczU08tAxd5kE7+6bZTBmlaaqT6HMl6s0gkeIWBdpUGan08pFKR6NtW1Zigh5125
PStN8zWqbHZctGY8DW28xrUKnLwl+rMzhUW6pGLsZyxGO6nIOo772Hsnd2Ri7iaEfx3gw+E0x7WH
5Tw9dcy48NpKTOvG4DTb1SggMuhSLjArTPQAHyAVTiepEe/tsgOfHoPKSyUHMxS+EJuztQnCLzWm
9ehYEQIHtuGaM56rpEQ51CM7Ym0jA5B16T5j9a7MsTixov5aMdHABTnWNix0lRs6k3RoEvNZFGz0
dWkpGwjEr3OSPOCTa/OVPig5Sgkygio9mW6whwZe3UR0ujTMAFHy0oWzes+xF+kPMIf1YGa1Z7UZ
abMI/6HvOYVzOkiB4ptClk70apT3BtLZTQzoiswAMJSNZV3YSH2vqIR2IpqupYq021Iv9I1slxeW
ic8XOBchP7IOiLqkiptTLIu6jKZ5nFJpr0So/6ypiQwkBSGMAllLT7tgUrpNmEsTx+S5aczmGPHb
DSrYirMJeQlEhFAJ8Ngn/CXHJTePIB3bqQE1YHowdlU3qdcSCsB4pw7pfNIMhXOMhwnNSTnbeAnJ
B9eCo4OtEFtf6rwOipPuVQgLCCLmK2DQyuj9t3p9MzksbY0PVq9i+k1OzfKaHyuX8YdJBAwUvB+J
Mz9WLtJoHBlpvS2jnaOF/nPlsljucIgR66Kx5+DF+rlyGaS20W/4C+X7ry1fv/YAQQ2Swq0t74Gc
Yri92rvNVENIgPjX6phLmNG6LLPYG8ucWvJiUocZ12zsRMFs+no0yBFzhSEVvkF3WfFLTZ0KpAZT
rGWntR3X0xE5DNq9ld2LJWxFGVEfcbzOIo1oMao7ngw9i8ldkoJkUD0pcMqCnAKz18+tvneawrPk
aiDm3TBEi5oKlU37aM0ENc+rziTdGTft+C0+QIGMsUnayjmLajlCt96Yq1oI/aYuiTtD7bWqCShA
8JgmtBZqMZzGE7gLuCvIHbK0vyTqSjzJhWFUO9S14dOgNyM5GHK+ZGSUlLJlcEgk+KSDlETwQRSY
TbbQpgvFUoMdDm9xlhZkWirJ0OFIqF5LAT0G77DaPNoxbqesw1rsRhjUd5GRdNeqqLEiR4XxbM+Z
sxmiTNABAGNYzvEmk3Tt0p7lzB8XCEvWy6OOegkjl9F1kD1MmR6tvExZADeu9UqpyHhrc0XQfiEu
bx66bR3IJGwpFdxCx4nUB22u5vNoJvpilaq9+pRSI572dRvuJlxXd5rRakiHVUABDNW92c77Y9+n
z3ylxY60IuVKaWM5cxMZyJkuoCggVI8OKDBDL5yM+GDEbbtxnKzxk9mxDzPyM9wPpM44E1F4Ef6x
ZxzI2d4QQfulz8t+3TpJATw8VjGUKBlUlKhN15MT0FYZa/OChoC0Zu1rz7VYqzxMweUpXIHhtG3T
E+z5JPjYEuhcYxpfhR5lW7vKw5OxjHXeW2JJZzF4Z8CSLXzGcgJSgi4M+fwEFLoKAZfogrtoxFEz
Is9ygpOskcwvtDVuSzlS96pkV0fefrCWUuiDbanCL2ga+UhcCCw+ItR2YYz+rZS6hHK7mi6jxhbe
0ArSe+J+9Il0CtZt3bbhfyvrn25ahW7pP6+spy/Nb8y0y2t+rKwWZzgTdplpwQH4tnx+X1lBoUM3
JcIS45apYSD7ubKyfH5rCjO1pLKzlr7wdzOtzsoKU0u2DANJzRIp9i/6z9/m0z/LhkU3Q32q0IHG
iAYe6/18x1KqUFaiGX1qa7WrdIhB+dr4aTyr1p2NNdiP4HrFuq4MCJEEFurSSd7aPTAWK1aT+1gF
2nKMgrKvd7gnKzKnUMXLfiUZvXVe0WoT54yPDhURQddQFlTEE6TsrpN2bjm0RMmDlhks4gW5fxVy
T8UPqcexlhTLEq/qc7Tuvt2t9SJa3umBlCf4sjora++xeyW0ZMZsVgE2aL3Zxu1aLcZYOclzMZdX
4czhhi5xkNAug2u5cbQQr60FGWIcOtNrSpFspHSqfQEbfDOkpuKLsZ43cmo2X8hj6MmXciZz9rW2
RwY7qc48Ej4MMoJTcyDhBNUrCcJNNZtn/dRGcJLV0ryKTbMhiN6qQEhgVt4oVZR2VwxtG8c39So7
jqSpqZva4r9PYVvezUJ3CAKpQxxBSJpLawfOSpP9/w4/3w4/xoel2zVddWZGf6/clpd9f0rVJV6G
ngOUYV3lkaB6/vGUan+YKkcOBkXUdj8eUUZEPLKOhZ2A6Mfl9PPzEXX+4H9ny6Gk+yuY9t88ou/m
NzyjcDjw1cu453lOqeF+Le2lIueIUrf5eaFgRjxr1T6gOlhC94yVNi3P1DgOeKMzq3om7/lhLgmP
AiJ0RQAaYl3raRrgu1Z9uG2CnEcZ4nBnG5nX69ZB7kiYk+A3YHVhLEKDGWdZONHQxO21iqoQcnCQ
usMQdW4SlMd26r5KJlg2wxFfuftLPyJJrXdwZYO1OR31RWLvJGcLY6WRS/qwPO8HKKkkxgX8G1XG
V6nsSggzzdMA5gM7ybSRVftJGpV1JDqMPWO4tTjqFXOKeQ4jzcqoxb2wpZsMdrqbpMqVZnR3Ib23
jcNmu1E0zTyGHJ18XUHW3Bspff8pfKTjTkosyvMVfvmLOFaPJRQOwKoqFjlrQRjFF6PKbiwbL3qX
b7DmP7Z6fKqrcFobGGqjrZ5igOP/7WxzubnrtXhXjr0J3yS8K1vzbmH+iZIqUXtuHee5UdtjM8e3
Rjk+p7qde6omzx6shXOJN7tqmFLlIDJWSccoZgZ/DK89vmpj7dBX0mHW6oCTDCkok5ppfGg73yW0
/VccZCO8rvq5ZAjOsCzIK0OKyLQmTCyJzHCTSL2JEDzjmNlD7GjHG0IigGTWzcqxuhO7JEZPdvJj
hd8Dr1Zt75qqUMkXExsbFgf0I2yH1ZTZ0JCjxktkUoTNIWAO1auLM45/tSZ12xASHNjWOov7c1Pu
iefhYC1JTr1p9AKCDHV1mKY71QCYPXbQ3zjMkIcnN7tcMnB9qlKw4UELXEGSLz1ARo0zQ4+ueUqk
5pIooHMRyrswsUbXVJONnpRw/0HjL974dDZvOqL55Dz88v/YO5PluJFs2/7KtTeHDH0zeIOLAKIP
9q0mMJIi0QOOHo6vfwuqyixVVuUzy3lOJZFiE+E4vs/ea3fwdm1VR7VfWIxZA/D7sfESslXLC5At
EcS6OEaOeCaP2FF2Nj0qXi+Ar8VFuBRKExpjfi8V0g0Ga03QV/VX2SnlJq3FxZTedW6SLe3h/vlu
PZ2HeZzC2Z3ra4fkEO+V1g2yOtU3Ue7tgUEO2HHa+a2P6JlROxFBB+rWdVVGcJDYSfpIeqLgFZhS
h6w1ZJPHYeP2Tr+ruh5zy9SK/azp0cao1RPlihezUpagzFIjAN1wyy6UQF7VLIGjl1csiSpfUi6/
SQ2aoykWOURz/ZbPKybLUO9N46jIr1xl06rE7V0NBNmQcxawAwxdsybX6XyBtuVZ45hf7aK+ep13
VqfiSkh5ryNf+VanJKEtsXvKsrlLaPYuzBVgJg9uvRzBixN91GZKj2aqq9zO3LSu/NK79nussKSp
+1u8m5eewrYtIkWw5PPF8HCUgdCiKriadD8bctUfvIROqb7/EmsFZTFP9ATPzlvatN+5oap+V5Mz
0WsWQvPk2qB3ZOZ3luKyETFfOHUbWFcty4XC/ujp7Sa+Q1CEA/nUKe28i7th2CbLeOwjNnuQq+/s
ZH7LUotNqZkzMTddEYq41zadiVWztAMYiBD+kvm+txp431kVFjNSV0OGKKwqq+VNV/OWcO0LNLEs
rOfoqi6oTTaHCIuHEt9HdIPXwrv3ImoZZulu7MoDKCYLYIwAH2Ot2ca9W7y0E/Um0TSeFRWMCEEU
3thW9gzVuPftccq3HKvmJtaT97mqbZKt6XacqiMH+p0063HfsIwPeADcCpNUXQpLe0QK3iUq1aBj
Z5i+Be87cqtjEtkmW63i3CXjLeVWFYQysgwknwhRtFpIuQofO473lp25+6Ua3rualhdPtJGvV3qy
sbNGAaamfDHB8rxI2pSyKuUWpeGdNWLsNwUliiyMlE0xQ8MA5FZdqY23wjkQoN0y2vQuJZylnCkx
09mxUMdHoRNntiUqlQy12m8RvN4HL32uBS+kKaK+oo9BiPArZxnP/WwCdw/fWo23uCf4mY6pfYC8
vvdis8RbYMKar62Cn9L4mEjoQTwTN33mgsq2OihljgV/XpG83FwnD7iT8oqlue0slGUKcjO7SMot
yXcARI/VafKV3H60erlbW1yt2rrJYvE5a3y6zsxebBuk/9RSpmYP1VljBrxyrOXC8x+tHcSIqmkH
SshblAZ9Lc1S65emyIpDtzSPhs4bv6iMZ0Wa1xhcfkxNQaNK9sjDXqVntQOXCJG/S+NrJ20evCXf
GwrthE5CkQqJ18GXJn1algEHBHp4PZqs11sw87rjfIBNU0hlI6KhKixbWbt3WlQ2obWmhiqAAaEQ
5MjHYogOaivfbAxd/D5HfZvn7sNcYb11I+XIyu+tzZyAonsEgkzs6qbm4x1xU+cwtmg1iENS5B8i
m4no9ekrDBNCVo19ow72U23au0gU836Jja9MnRzOWG1ACCS1585E1myHdq7epjEXACQvv0zrfS2V
5BoW7dXuxiuI7zhKBL/YlmLdIIHzGmSOnDa2kr1B2b3k5Hg3Pfi5DU6PUzqyhTf7dicXTCCDYWWb
Qc33WQxmEBMzz7se70ajg4ar6WAPoXP8SGKiYo0L4H5kut7U5TjSuCY3db6sp6r9XLIbouYct0bZ
KA9JOz22HoyGKvU29VSch46IeDy4PfyfuuF2ktz3Nr24EWaDYXUdlKr3aGJDiHF0bIzVmVDC1mMT
yfsJmMV2jpUi0DEyKExOvCHxNkyYHARmh5mQTby6H1RsEI1NOAat4nMSI7Q6+8tWlQfFwDnhrB6K
3Mu/nNVVoRf6x4jNwuNJDjfO+ugwYKBbt0GFJSOqjCrwVpfGbOfPcVl2G1AA+sbFypEp5TaO3lUM
HgwGpg+4pva1ITsKq9XWZHN2paf1IVodIi5WkZgyC2qcsgeNviZfYCdxSs/2dQwmJnC+mZkLpWRB
iRd1FTarH0WS0kZix6PSrG4Vd/Wt1BhYXIwsritrup/xBvC++7JXtwuvGeSJ3NiqGGHEyFs3abXb
YvXI8Fq4GHbah5XF/YiE7b29OmoIJ1O+urpsWGtc5tV302LA0dz+I1sdORrWnGb16EAaeFxgxc6y
eNBXF8+Enad21Hes7qteVgFOWz0/FMidBSaganUDqbIDIL86hHo7+/SYjZORLneBiWgpIR+uriIq
ew86NqM0g8GE80isFqSOKc/JOfoo0UZa8yZnx12WLxLvEjzeLwSlhjN4fjVKZr7V6pTieSI4dyAH
FyR59Rbhicr64drEI1WuZqkY1xTkOZ6URrMH0XE346uaLXLMEU6rGceVML2DhwMLCugNyciNXK1Z
0kjCBK9W2o7nFtV/wLNSWCp1gl0GEq756fEqqsV+kT+dX41ijfltYfVihJpobwZLKH+35v1DJtJR
pP9cJrr6HN9+vP3nFXT9qN+voKux0ICDQGsObsU1Kfz7FVT7hu7NcGau5DWH+rvfl4feN3Z5hM1t
1nogiVZN/zehCFyRapH4owYRZyFX179wCWUh+YfdoUVykHpVqIu2yn/4RyN9xIvHsKJUXqfVjSGd
fqNHEixP7z3Oiz7xdqEh0tOrM7rxHa6ldypYFEajBapxwm1GQhf2nd47drl3zQq73syK/e7hpyoG
7wm4xSPU4a+BK1GjMJOnnvNaiFIwYtr6hoJerojlGYDQtBmj0eM6YFxNapNsCls1fUpinuzYXojf
2mwXowZUR8SNVrdeYLs8xXJ5VxiK/jGxN8NjnvY3rWcSrUP2UT2cAPn8WNczFQNjD9iSfQIA95Pm
ZgyD1bgt55rveQky1+D5MRwGlzgXhTew56ptlSjPgEo3FEP4cF6vCjfeLiskm9Y37BhVhwVyovAi
pcvYLdx11wgCSPtB7fl1l0OjjdlJ3C8cS+kYGRtNdBz9DE1WZmBtQS+igYsYt6dYr+WS0yXNNjGc
Ub2P0D+gwE5aFyhztKMAJgvcaQwK07MCD+OYO3kL0jvt1hKK8tJaT3g9mxzATGvee84Q96TgYQ+v
LJiuWx61aVroQnEBX0ON6aGNFhltbFezjDNC90lcmAGLAPacDFGuDTm54+q+PvSn0YafwRiYxWhr
qjlunIW+lcjSHk2HZ1jpmJ8isy6FSvB+pOyHdk+gBR0vHEgQj31VfU+LT/g7x4biIt8yuwPFKKe5
dTIG0Yq+ElUJk1ysRJbx4qmwYXNpnGhffZYmfD/BuVta8q2huPUR4v1dXJp3GlV2k5gOBP13c5ZF
+9SKDF9Joz15+3oTN8ZJDrnme4pwDlKRKO6l+6SMrevbjbKdPH2npsgqa0u5G02HxeMhp9bCxi7E
g3VU+s3YiF2aYrBkXX5T6dHWGMAdsDzw23Z4WoriubD0L2iujN5Z88I69lxF+SOwode4bG+gYdLR
3ru02C8vXcsBT+Ptnn27synATVdzfywHh1dztryMAP0qrXnrZRri8z3R6g5vQbwCjO+DyJgglaqA
P4t2Bfi3jwm6B89pkDuqQ24WfLdY8JL1zmtD5Rvqi31phXO3JCyJjehZ41K5owh2Uw7DdxjRdzpF
7Q5dMoZpXc9CZU6zF/2cuSPljnYFPW+80o14m1c/clbvwwj4qFuZ1ukExBo0H5O+vEltK3BVCO/w
9xjknY5sFBuzyNbfSuCFmKHyfqNCIQdWofvjKB/sBWlorgsHTqLzQBcn44L6urjJpfDmWwPXmQa5
3/ca7wetB/vSc3kZOc0B5DcvwOihgJAVovd+EsURvKG0B17GL05Pp5UWwctP7dvOM354i2QjpEw3
dQRuv+w0nKyxjnczghBT2IlHprnV8MjNBXYG7y6nYRFkk2gO0ZioIYxaWjFt732O+re8aG4iDaJG
5FhR0E30DZWy8cI2s06CG/LNYrhgpuqkuo3IYd+LSgOMbuhoJYC56/psLPG7VmnHoRjkvow8Jexz
HckMClQnqA9Al6m2dCt+wsNfwoH2QXoeMW5ScOVh/cXQzF4X56LFRByZ7XnRnBObT9D4eP+S/q6l
1ovxyjjYi3lFnuNUl3yXad4EVEuovrUoZiBjpu2kRJlwzL83Q//cDCEG//kj//yWf/7nA3/NXf3+
wNe/GZTasZV14enw7P7lgW98Y1OkY9Vn6421hr/6zS3EA5+HOeqAw1+qPxXp3x747jeblTtrHEez
DXjRf6nt3PhDPgvZ2bEtyEXs/fl+VQiG/y4745PhltRU1nU+FvFJicsmup/nvEIy0dN8NzGscOmg
4w1eQBCnRXEwW3zcKzhrn1OSeiiljt9tUnHdZIWrbudVxjGdtaEbCrhrMUFPWdr6ORA4xePx8POh
MRcqPJKYmxZtF97i8laG2zFKKldQWRbgoEl8qubplFXFVnFHSHJ6NtxRA4fNZLa/F7NX0VWdgJqD
ul2o9X7Bfzzp8V2jVUOg2jzIOx2zdFW2+37RrtDAPmlguU0N93pBG8XOeZ/ClVLq7kWJXXGqovrU
JDTmJWZ6ABX4UlAp6yrJfalbj3Hqzj5mK9hVuSHYR8ev7IMPhivCTI1eKQt4A+VDGefYkKnux4mS
PE4j8DpwEJCnWo5hrgPeqaG23M9bHZhqcdUAyIZIHl+a0nxrk/66X6qvfgUzeH29WWrUChmJY+nk
zqas+73luYGKz9DTdNiqSxWHuU4SQhhaYDjyuETKi9smt3Iy6R/sM66rFbRqp1tCTyYo92uRgxZx
L5zqPbrxa84+jk03vCGjXbaxLCiuE8lHR7f5RgrNCipN7mwQRIQfjV3p6leVMPVg6gsS2m37JKLE
DI32a7Clurdz2wsxCmG+suyALemXMiODEYm5boqBdvoUe/ToNA9u69IiA0kmt1quft2eBnZ6csd6
k/XC2VhxxaiixvK7rJajG5s/HPwBK1vN22A9fjVbcaTJ5vusLrcNDmMMRK+ToNyg7ZMvpzThkEy5
F4ouuyoduc+7mWZ2UyN6Okyfs8tNH4GDe6eIt5k+fEgEAB+9euuM+YdkiVpDwKcPQUeweR9Z15xx
gPy8XoJp7cndFMG0wlv5/ml1katqHVkpdNcRTDERfNeh36XkNAhU3cFN30R8cL7+xBeIsn4aUaRF
/Gnr0bEq/SiHXVeJJNnLUb1eeDPcSipud7niTqh/nYU0qh8NIzM2QPB9o+FjFoqKrxnB0IlmtQ4N
Xm0sHRpEtFyTUGeNdD4QLWBOber06LrzwobXmkLKCHr0NFQ9dRy30N8+XDW+pmQCZ7SuXQx6iWHH
eLeAl+OgK7KrxhZQO7VnjDTyvtWU/LXSMnD4TYkvAteWFrUidKmH91vbyOG+QxYw+96fK+BPBrYY
3yV6tSt1qJVORS2gNoHMKk2Tzj7wA44iL7nOfOkRihiwy4GmIy2gp917OzAC0NcDhKQ90AFs+IAu
j4oLOESLma5rkWkrlr/9rrPBRnLGfU1FPDNbythTJQ6dDTQSb0FwUffTL5B/NP0lK8to63X826md
3B2qGadSDjuqLplHOiVT2Q43KCT6+vuNGAboDT+xc9gV03SV8o7aTPSFZqyZkonvWlXISMb1SZMw
fkrIGrUHyz1bWkwlHuiSZMUDugO/IcLcAoMJNVNyW1ZwIqwUsl5GgQulNyc3RkOZhLpLrfwV1P9u
ULp7Zq+R1rmWiYSiwUrLL93QskoaymRDTQY6nNjbQ/cVGxFzPA+PQCA78e9IKwGRLB/KLivOKPBM
rCuY00y9sKwhicWNuscE9CztikJNcRoi93OudY2ISHns8wl9Rpt3Dp0tfy+mfy6mV/jHn08IN8Xb
x2f7nzPC+lG/zwirKKDDOLcpNFyf97/MCGQUsdyZBvOBxVOfx/O/ZgRwK8bazetZcHw1PupfM4Kj
aRa4YXiUrK8xG/8VVeAPeLN1RoC5QjQckQG7vrnOML+a3Hkq8742nQmY7Zijx+bP9SjvnHqkc8yL
r0utyT6op6hYIBkPRk8zzWgo0b3rTF9UMG3pbTP9xYBvFgMgpzXb9UuHLR1knfc2zrXNXDitPw7V
nekVMVf1OgINFV3csqiCRDjvbGTv7XF5Tsre3uhFj+Qs0DvrpNxj5D0aAgtu6SRMHF61XQr9nv+L
pxTSdDsNCKiDBBzkDtkG8+AFkvejaYP8Zb37I+twlLVUDprzdcKjCGsvpV2jvNUTVd2acDLIcYyr
bluHLntE39EJeZWQR7lJAPttNkYzZAfUHtYGFCZoCbt3Ht4dfUO9Gw5SGKGRRzs7/8l8K719JMwH
ts2MOl4wGEY4UFbi00SeEryTh0Wj2KWvEnas6vJkeT9ooYffO19w2B2dsX8ZVEraRIYbj3OeEneJ
AmKP8PmsWX6Oan0YNWfrGEQ3PDV5ijXUQ7bnm8ItSFxxmMTpss905xo8+9U61cV1+1Qr1vswyJNT
5xhl4ARTmtt02mGI8ltd0vLEA/3O5ScUpU7sK3W7nYriqjW9OztV3/N5UXlee1ykVJC3njM9lrr5
mrlA7wVLl36szK0YtI6iTudEC/mDsi7V7EV9SgnP+VOVnRYjehQz9m/uLXGbg6ahb9NUku/zqDwI
YzjPyXzXe/ZWtZWXQck+CgZJ3wLjtmlF7PhLUbshWNAvhw2nOtBSg6/pwq/pPLHsaMDCReaXJuAy
6nw707BshVN3aPvpfZ0Qr1y3SWpMrDHDMdpW9XcD5r5BMfqmkvObOUy8vjTqkAhz5igb9Vkbix8R
r0ivNcgq6vWOcsAjYxBu+v7HqJBe0xNjZW/t4hQrADLJDSgsliH5OAc8ZOneUWQWKAkUEckUyeI+
f8p6fkgLMhC9Qjz5zVK/620ReqKkUKvERsQqmZV3PMVX+lA/zd1r0RwM3nOvoLiAS3KwJ3Ge+ktv
PtaNXAfB1jtEOZ51dsTzzhxxlKgDq8eh0WAqDAkXREV8WdnUe+dJa3our0mUybBH0V8ex5+qkTVS
TEQGK8rNe5KVaDBKbDyl7O0xYgz3FMUSQ0SHmglIBt6qTLkI5Yw+O/bciFYkdYJ+aotjKkwnLEdM
7mIyXuvRykJ6PyEaJ7ykq6m3wQ9RrEe140ZJaYlzvfneFWhkdZJcz8nyQ0dTS5vYDVJUNhW1bQCy
HC70IIaV7SZBjiZHNvNqNk02FOlmUd3nFO2O3GHEYMZ6qgc6hrrXUvxYoPZhcdjSedRvFnRA1pNg
XFEGzaSKrwq0wtzE5SUNbcfC86rLUHJQFT38AC18xk0cTe9EgZ/qmkSf6vDYRZHMCgPhrIH2bU/p
k5WwUEBKSzauoVHDjaRZreJmnhTs42mjROndzCl9EU1vvYpVEtUbJWyN/EuilYrMeRJNyjbafKcd
hm6r0rm2UVftoVaBBCdMWQiDPvtUZW1mflfn7A4G65lfHjJttgANz51HFmAQowuj34AATEJWY4G9
qgGIwHAeEAjqnjeT5K3nIB10iU4ZA7MH885dhrgwIDJgpDlFQ3/OV/UBu1TvFxNrkmgsmUnTkuWs
Q+rDBHlNMq3/VLAabmuvgYfI4tcXQr2qVsWD7SSNlIggSxy9KbI8J4gjyqqSaLOk0Q3dRIp5poxh
2rMsJsgs6VJy4uZjokHdV1qiH8gajwSDT4kQH+mCQh3rasmCE+B8pVPYTitcJPhtFE7EsJTTAR65
HBvTwSlxbUT2QISWp4PoPzwdJGtXFrzWuhKXuF8Aj2+PrapJlBR2UqFpe922i/rO+66XXe/8gxv6
d8pqHUX+fCI6v3Xd53/z0/JRv01EtDB46wrC0A2dy8e/OfWw5K1/zMqDeNOvflrMeogsa0mtCvGB
QYo55beJyPtGmYPNZ0Q6gbDF3uUvTER4Av+4J7E0vjDLWhc5qknnzR8mosGbFVHb07WcjM4JkzHK
CCw79EvFMkVR16NTv+SUC0hwwPmTNmiwbLEBp/1BLCAY59Fe8nNHLnYJs1nvlxBidVWDxakM2/qY
yUqxB8SmsYSYJbj0kSrYz6DRvS9PLbX+XnYdO8w+dUxe1HJZvKAQ9bTq98pqWW3sWGdP2+YTz8IF
NjH2hQE3T1jqrDND09EonVmrwvC259qOpTr+knaMTeux0JTEZoRoD9h+uYJVttnvhTLK/WzIIfua
DHfexhkJgTCOM5KVhufx4KGG8Mj6pXhP6asJvJi0ti+FHEOlIA8xltgI2ANRVlryfBuJZLyPKwB2
WUoCz6rEjmA1sbmzZPJlT4rpl5X7hfbDSV4CTnUEf0e/OYfAONBV5dTTKYlponPXa2aclrpPnIyC
9Vap3lUHt4NOeQKlsGSSOO4V3CFrSk2Tqbp3WxNlJqKESnNX6/9Sx0fRKsWNKYsEm5Lm7VxRfeYO
+HmjMGBpJqO5w46WhmpX2QhZDrxdayhuchU7AA8HcoX4dMqmmUJXqdG0XOMzoTprb7U5L4uRzVgZ
m1T91swqjDDvIo/ivb0Uwwa9AWNP2345E5hMoSMaOSVSWDC1MRSZXmevXJfd0bPULNCVJLvwNTPG
1XZ9zKdxkw4ZpjCHAdtyJnnreZG1m7y6hLHL0506YuoVW9Nl5oGnWi0tX6ZrvBRVjjLdZDEbDIxY
mGOAoDuF5LE5Nv5AjHodaJpbuAeEx+Kpv3VYL/uL1BqYHRImAaGEYruo3hx2I8UdnTmLcNacgQO1
wysxV/leK1ry2VFW7v++SP68SBr/3xACHTb/439icv4vIa/1I387OskbrDXYZMR1Al0/D8FfNsw2
xjod2/J6uv4a8rK/rQtkIgprEbfhIGD/dnISaeUCyR/ZGpHS9Sj8CycntM4/npzQpde8g0XLDOtq
b/37XwLTWOwt/Aeugq+qzDYFFxbein5V2HQ6a0QjczQ7pTONDYuKW5KrCGsptRdTQ6m2pAebZSUF
WTQ+CjIIG2T12tcnSdyycaeAHND7VM5PdTZ/F2pzkYNxWBzbPYuScBBodT8SxmPstbtSK7Mg7ou7
+SfvuDE+bC1FnqRKYQW0e6pC4Z4Lpp66m2d1dr7mtcMwmwRyMJIrxydNuUxZg8K2pvSaF3MQQ5Bq
IqD0ZdpiKiNgSoioavLBh82zm9YORROrot8N5TH5WbBorV2LC9ZAJYBW810UaxVj9rOWkWNo7Wis
u75+GOD6CtbJmhkHHidyXU/eVmikD8ZO0lerDtzXoDeOWC/9XMluhkziaqkKRGO3wDGV/egd5zNS
SSdFKeqy0V8V46MOk4PJHRPT5A0crLK+d2baXrRS/54VuFsB6+qhnLVxgy/yZEddd2zU6r3RE8oR
qiIB6c0NjGPVLk39tskxBCO9WcEk8weVPpPcGaTfzcxgLItfKpypPAXqa7HM9ZluSrlRHC+sHJwC
MQUNRX3VaTRtt8m28JzjbEUvJBa5H+SGPNR2th0qUz3Q94oixveNqkaaN7JrmikLvDB8Pc9uDD9k
5JIaCn58vqvB/Igmo7yOXPWBKzA7fgFVA4TSycRyw7JyatKnvFP0IgRubdshrsTLostbtcMzpNrQ
WOg3ccNWqPcxqgBOKSzdrXHdxB51M/q+6exbAl+HqFh2+TjsE3XpgrGPH3q3vAY0s9Nnfa1oA2FD
R243CT/JLBIuZfZMhu2BGNtumtynUlm4p7fdfh7iB/D353ZK79tyeMEXtIeUQ0ljkYiN3aDfLVSC
YFa2tgzl+pZOi7MNXP3Er5xHzZB94tzzx5avTZGxFWKktNjkRP68OLQUWd/1tsSuoHIhGooLc/gd
lHlxkFYfnw2Fhp9heq+ULiy7h3aA080O9jZOskB0Iwx54r229qR62YQ5OtsR696nMoOsZBiXtMu/
lwN1BJQHb0kFs/nApI3MnhKetBdeodObF2l1qJZTsNgLzo7xOuGKpuvTqe4UWC4zvanWuyFUGyh8
dr/EyfWkmc9NS/mPpT0VjaqFqi63TUWzdJorV5Hq7bKyuhoQW/zEq97HiI26MVG5GeNbMcbiVBT8
M8074eHusVOWB9TW89hXJ/7lEs6zYeCwsHo/d6dC3+Imk0gThDHuEpVcFt0O8Wu2+oOtDDXJUr+4
Ku7zdHztvAnzwBhKly/BcL/3bnWh214h79cH2DE2fW/gpRcv0oGlrpeYzalBPbv6cOdqDRDsmWV+
2xov6dAepq7FwzrSDOya9HTHB8cxbvXKSzdyGS8WwY7NbFW7qGrdg4eVnM4A2ufy50zPz0TzH51K
qD6NgHd9Yga6ICJQNSemE6BVJjwqfhdMKB9muZpy2ks66tdzUQ6HWCKRUe+zL/QGnVu/40VyrAf0
gqTtr7sI7j7mVF5V40upNwE2gmI7dirclOmkeNpJMVSurpNyMKW5V9s1pdgcymXaTyNSAAMuhSi7
vlhu+zEHPFQ2COMt/b68ZN0SNaUrHiO1+p5P6bXZWIe+NT87E8hSbR80I3kau/TecrsHmOcFludo
O1rJgbDae66Kg1bS5L6wfwQYc5Z9dawWnXeYNl0S2pVTarjmwrhHT2RhIbEL1Y26yWwVESTdVkJc
U856Sh336+/Z5B8iNzecP7/SXVObEP+XRfhqb/ttLtEcOHyGzmdz3H9y+H6bSzT3G14oi1o927Us
btX/ErmNb9BcV0gf5Roa+x3+6rfBxKBv1F6vgHxay8FP91cGExg6fxhMHBaxfH5mJm8dTdw/iNyN
zeVgctTo0npaEhpLkbNvHLzopMyNeqqcjpuEosqBAqfkmEbyFRsx7FIn+zBGSwuUyZqcvZ0UpGoa
g4YKVTSMxLSIxRuCgPVT3I62ZN5XO3z0uEx8bjO2jmpMJ4VZROknKeOIvWNlrfsctqEViK0KmxAM
jTRrwr7o9JUtbo5bBE3PPkpH8Xwv5xFLuSRmuVQAxc5IUPoz9wnFjUls5+i/gOlGP9Hx0rjYRe31
kqMYmbctRqxcFH9I3u3xsRjgXyz1qaNkb1mmW81Y6PRBrzaUs0m3NNUIhzmNlo1lUw21aIq1qbtx
CHQoTFAv6H8Tyk2GhHMnIvfUiwRPV4wbD2yudq46iFa6MuWhtLkot9zkiJ4O13PfXSs5Ptwp5hoi
TYYqhpswiYEY4NDpFUEERrZfudHfp4V6D3ulpLqk6KsbpcmXi2Hm27IR21jYyQsbiI3Tu5uIcrzL
aBaxb9RshDuIiwjRMXUh9L15A6Y5o7xXbGvaCpdtoUMPTtC25a5q+HZFYfvcx+nkYm4MdK1Krsd4
wlXGuMmauNv2s1Lf2ahFnr0WbEhqajxqt4SOwzdVLtpiQPeg7VAOwnzsSMDj5El92pJQoSjr4VJf
buZh4TkuHPFqRcNagKZ4aAIVLTCbjvKs3S9vxf/CqGJ2/5UZ9LM0CjaVDVsGucL9I9Q8U5NJpScM
rzdtPlujmPS3RPJzYkyr/ll38bekpXFP+fPz71x3//O/nIDFZ8eB95Neevjxf//PPx1EfOgvhyB7
vNXhS0WVoa7+2l8OQQ8uh2U6P33Bq8f3t02f+Y1AKGcj6VB8Oqvl5/dDUP/GUk5D8sJ06rgWyttf
uJ39+ytl9RThP15NSo5D0gYf8L/fzTLXYTleedkVPrvF4nKQ7Mzm+ZcfzH95Neou38gvr8d//C+w
iaC08uDmSOdn8OsNsIkwEVmLlV31dZYWQe2qvAw9So25eel5mBkMQzVOjLOznh/DepIUS3QaMcvc
qSK5LVJ3p1tJep5UFafPehJpLtFWOkZpYuCYmvTyMIwJcw7v50E7qxxnndQvDcfbzPBO+v2oZhyc
5XoCZuSZts56KkYDVUYpB6VGLAwgI2dn1udkc4rhK13PVdQfjtj253Eb8fHzegJzQYrs46QsdAVM
sxP0SkdnokdjCm9zFL28ryAu6eZTRKvbziksAzFZoTUMf/QuVfOE3q6hEUXIAofFaq3By3NzCqJj
T0QZgxBd8vggKEuTnWQxPyApzaw7Er83hOE+LXpjBwVthbtWWWxrp9UTbMGN0BBEG9z9ZS8jX50t
5dptdOXC5xfBanbNV+BirVQ7F29AYA84aGB1FEHruOneKMz8OIDCcG/4/zrjuyVjpzvpsh5rJE6D
0GFrzTeJtu4uYumdvNZ2jkA541fOaPOZuRHCQCEB/PTVYBIrxOyDX9ualr2LWmoTCek83NhsY2zy
9aFCzxWT64zXe6BTqInphRl1a6S3ayBSyc8cT+3SvXXYwmZJz7ycXR2HaHpQoGOGMBlSP6Yl9A7C
6jFTZRF6tebdgQfR6AvFp+1KsqO1KMG25GYw1hzMTfrslhYpvaUcA7tJl7DtKx3bGC6UuZjTo73Q
k+hgcNnRk6RtKnJ/7EdG5kzZdDvbGPeTWeEnnfXullY1DfWvvKRVcRnbjv6KNr01a+vgJgP7R7vY
12mVB7Gh3nB3uO/xOD9CiHS/wNLiZMsDe5rtrzodAqvsgjxqtAdVGbax3VP8WedYw8tt7uIvmfHZ
dLb40XU9clH7KTP51CAhtMZ49Ci85QABx7XszFm9SHcMDK/fM3ydF3JHDCHvqjVgOFO2xaShDdLk
N8gPCq/RFD8iddCCyS64YToxX4Q1vlp2+l4sthmS6uqOeI3YAE/LWS/1gxHrFxvVA9vvq+DX1/UG
DhTXCaPR3sa6u2dZ/TpHXRiXke43auMbUUwSt6vUQ2ZR061JRh3HueF7vLMGQFxzusQ4y6geNUc1
vST/j70zWY4bybbtv9w50tA3gzsJANEHI4IUSVETGMUGPeDom69/C8qbVRJTJVm+cU0qy5JJIhrA
3c85e6+tmynYGvXaZkVzGiqCq9SRm7lVNlk1EssR0Le08+ng8BDJdDNU0vZG2z7aQjvqY/koza2b
GtZdp4bXohJH+D1uTw5x3vXXyEHXpgpfDZKYTvZImYBMnKwqosPqEuV4Ld+kUvqlTJUvIs331LeH
MiOdt1Ou86B4mQoTl3hEQ8erllXTYbYs+uQ0cMk6falIdesWhX6NhioaMdrOAxbteSJ2ryj2rV2+
5lNgkXFUZOhyEToYo5YyaRQbovyk23mSqvWvV96fkOHQcMjqN+I1HDX++ePKG00KI20zi2/KCotB
nzkTCNIp9fK8z45trg2e1QfrEF0FHe35TRFVc62qVP5kzzZGi3G87erkKI+BlzoWXbF2U0XmO8V4
6AkBbzdMUIGjBVyXM/c0Z1q3DIzGJWh3ZlwJZcmy221fll9ra+7cOGkeVGh1PtxPHBEyEN6scIfK
bcadIlK0dESEKUm9UVFgZMzYm9x6nbL8DvzzHm3CYW6yfdWRmC7Ko83heNMOU+k1U7xVx8hwmz52
zUAq15GebEL2Ja+Rm1t96rC+ReZejhyea1ghoKAVhNX1eE8prHOuQ6yoTupZp4jE1cehfYzTUy8A
HDTJLh2MjQGn1osZvgcFWoXOrmO66uTzIo83QnHMQno9VqGeY+rkrMs5Q6sQoUU5s681a5yK5zTJ
boF8Ipgr+swzC4mEV0r4oK4vmHd7CPzIW+s6uaeyBg83xs+ObGGH5GYauUFt5JppWr2mlbxRBIAI
XXnCDeflmumajr4dWIe0psR9Yh3lSiZU25FeA+IPOacu1lbkI6gClJ0klrWsPcaW+VmVs7UsM/q0
EfpNOefZpJlSWFvhmb6R4hURGhdd4CNW86R7oOUzHBjE16eMKcPu17fq32oxharOIk5RtR28UB+b
xMlcD7C18vgGQ5KnJfua/MNfX4Ej03eHEP4kDW2IEcRIAVyktKSB/v0hRDMBIdpOyKDfTGjynOMu
5ox/Ww8Jd0JGNkq1dhL/19fktP2bq35gfHQibYWuSdJJnghkwiG2mvg/7IqfmbxRh2E3xFBtkGqt
YXYoIHKMdPWygkhQGaemW9Tz51KyjnGryy7eUDqlg/LVjnTLy+Xknq7KgLUXJU+mP5lBOmK50MyO
u6ko/W62Ct8WErntAh4wHuNp142W9rUsknaN5Frz4zh+ybhX/Uo2I48VePJa6gm375y7Tl9anFJ6
j85S3eUhUHkgIUgYt2xKn5q6XpvN0KxUI9lqciQhi+aEkg1FgXe3k90qN1E8DgbjrXi8VaMCsiL1
WqWFeKAcCNBN/141g7pqRLyrdWmLiPnTOCePupzujbZE3ptyWIsDDTZIC9vE7IxdOicHdMxeMQWq
p2UyqOkgZZWVH3uZfluc5ISyj5uiJpQ0mLmDZdJRQwJhmXuWSW6vxJzYXp0FJ0G6cmhYW6WkU0nl
fBeZRDyOQvrUtWBQNK2VXcQGG0nE9JK68tkMq1Mt59eKcq5ux5bO0743eonRpra1kMJ6QlHuiyna
jsE4en3d3QhMbF4ijB0ztze7kvGSLDHThr4JhX60aAf+5nb73T2+HMS/G7UMdGF6FbzEKTkWFxAv
a5p8D8OG1OAtjUi2HvcFaxaS2lPxZfhN7su3yNN/I6f+esBoqkBlUEFbLS/uu4tDQ7KLFMPxSXjG
qjiqrlh3zDAO0qO1ln35/iy5x8feTxD9P/M/2c10lFf7eB3caHiQf/Nqfixs/nwxGmpIAywrZZSx
PJffvZhJHlBkK0l0E8kXQaxOLD/W/Z9jyf+YGPLjmvX3a3zoH82066UoyiI217ew3jrT9ddf50/f
A4M7i/aZBgb6w7cJHWhGMl6xeUuXyuF5MDhz/rlC/bd8X77x/1y+f3qLnvPnv1fuy2/9VbmryE7o
MdKdXEQnPypS8PEgLVHZsZitajp3xv9V7sSIwH1jf2GPoWVFyfvvyh1FirOYbWk30s3H8vuPKvel
H/HdhrbgoxAPK8u1KN1xCH24PRDVanLGyzj3yCwaL9GYcxryNikKsO1ZCE1Np3eHjAPVVrcbBySx
Za4y8eqdfWukpit4lNF1EMMuldWmS1B1FQrwSsy2ftKJF47eioK2sMOFytS1kzxN6h4aMuJvpzwZ
NmZtBsdIn8xdQhVsVqpGc7SvTwyCu5UB7IRZlfK1DZp3GSnZVgzFTa0mDF3JHE79eOxuMVNcrT4x
l0WVPIF0wEORFYxdbKT4mUOqRtiBAZ6IXlwRbAlyImXQ2klbJcGDmywSE7uLX5VCHTuvWcSObZH0
W3NBKYViZuSlEfqaBoVyDtQEB2JX8O/YdLeWAg9UcPk5zjh3WTKiOiemR4eOf1VrdgX9fjghKTsn
ZbQfC3Xb1gwwqBafW9z6BzOEHFm2vUHMbXJbcuZNzRKgL65lrBHMqvJq2swRbcG6q31i5iO3jszA
l8Fdibm5c+p6K5iF7YxqvtRDOnma6TxqlfVS1uUNfldrVSsR0APjYrTBp7BfTFVD7fXwdGuh7+TO
ORlsv3RjJdNVCmJTCB//nAzZ3izipzFpG3dypPcxtEnUaJ11nPVfjMJ5EwW2StIzYjcpGKEVBMLC
EGEF1qIwOsY0xFdp1cRf1AKcw5Q8pDK6pCEnDTErjNGXbMD+pE4ziWmaR7NvnmxzdEsEsX4axgBN
whjkVFZxWnTo1MoZfhbbxF0ij59KvvosU3vNjXsZ6sPMnNnMMCOFencRDUMo2RoSv567F120n/so
fUV+q68DTXkVQUpbfIzafUFlGWAMWYeF1a/NEe7UDFiUy+MH7mS6AjKDvnoVK5XhcfbaSfTKN6GN
9kCzSx6E0n6fEpMM6YbB40AjCjGMryQNKBmzeR8KQZqBPJFoYSM+FEWarVEdQsEIMLDADXGrmGcE
PFO26sto9gJAa1rWaqth6jc4Uhwvssez1gdb1Sgu0ViczdTeSVK87jhF5V4wnBz+ZqO3d6IaWtec
rEuam48WIC9MeMijtWTygoTULaaxS4xKU7SfyTmXPeIAyBFPBLpgy6Fl5mD0bpNiXabipKrdBtjV
fRN2u7QKKe4QESsqkcDqdFGzfoummaToYakyxvGcZypWKzl7ihpoqqbgeCUP1i6prKPqAKRqBVhY
rcWnP6mAVFJUU4ByvDBSCJYIlXjXJfFR7eKjkounDIQqrvSmW5lKgDPceOzq5qzmqb6JUrjPY6KY
Ltgaw6sL7M40+xmsdECo9RzPrzmPLtLQ28EMHueA11eJDlV0rLH08HthnpFR2mbIP9JdMNdvVaHp
vjpn9KEcdSuHFFnRRJfO4WN1+zZ6VAPt2g4a04C4m/w+aXRiv/FuUTu9Q+Q76HF8jEFn0fJBcJEV
lSfn8dNsap8CSK9uHZCTXhGTjYlLuaVmeCIuDgGWVlxVCS+AMtvvptNt2hnFSFWQzaA2/bWOOqa1
6qc+ak5yL8FHF/Y+riPc8lZ+zSpaHVYs7aMhu4+NFgJ5O+7NySaxZhFhjarhJkQxwJdiZJLRyfBm
OTrNxSCt0IyMnlRn74RZfKoE481JgYGjxRHxK1HyWgvjHJbAnGR7mD1EQqqLgk8+DKE0b1tbrK1F
7DVX4Dip4HwEz0CKnfBuJOqpU6UtDNyD4+T9Whf1nhYCPgklCt2qyqeNNpgdLIbSWAf59Dmv5XUb
ys9VM8abUY2wFQ/9jdnl9/TtjjPaBkYasa/3+rpOQr8v7UMs6m2CoHY7cxNhpjJJKNHlzWQpLyjB
T0bImj06ms/h26+U+q1N4lM7Vs/zGPoWZCDGVZ3L8O4JL6MXpAQgjcMShiFvrZbVNKSO6bkJsJqx
cgtKDbxiRooQZpysT6KLT7NuvKUtC2WsmSUdEGvLwz2u2jk+KdrA5KxxzrUzh/QchoeM+5YmJmJ+
a0DK1qtEk+P9AsnUY0eHOkiR8czeWWOtizrO07AJ4VqbZ3vhFUr49zd1U3+OQRkSdJK55ezcK1b7
lCy0w5p1YdW03BoAHdFiwkWc4SNqhE1vaqde8/q+1glutIJWUbNAFZ1E6alhAC3ScTG8QFQX9rzT
sMAYBxEd2gXPCMmBTgLARifvXkkHwllgVa9aVJxJOkLbtGAeW7w1igD8qC8ISGeBQYZjCxZyAUTy
lFVuYBuktco8ZQtGkhTwdQlXcgIZAcv/K94egGaQJ6cFQRlLyRdcOC+MP10tyumCB+mGcwTfQdDf
KYZQQDlV1n6WLGDxtIVZxFM342jkxsqM2kJSmrMz67SVc6B2aelSxZ5HC2NLIwEuQl8OdUO82xJ+
VyRMT0MpKb5U0fUIC/M5jcgfEqH0Wa664Aq36MRq3jjBSe+jTRTrBuaXLrJ3Mr6fCp5bVkbmqo5l
iklgHf3sy4Dmoj+jPP97jlY5wP7nc/TprXgtX+LiJwrF5Rf/dZRWmWcpDPRVaKx0ePjRX0MwVf+D
Mg22Hysvpqml8fPvo7Qsq6BpHATQ6rfz8r+GYLDrqexk3HH/EIDDUPSHYzSVoWxoqqXbcO3RJjof
+0IWpm8bjbR0ViSUc23MnqvPb8HAfYv5AVafJq9pXa/riZ0Icoiob506l66q1UvsMVZZWLdh6NBb
cLCFesDE6sfAjq3pxZBs6H/4w+Cl4S9NqsVzqtozIEO4eY3u6BvOGMvwHm/q2Maj3wvJWdeK+rkQ
qfwSVnhZK3UU63Lxtw4dTtt+8by2Jf+ttvhgu1Stv4hv3tjFJTtHvbEfCmufJMTcDSi6jQihdIO5
tlO7rwT+ySA18d1ytkY/jRXXxpI7Ld7c3DL8yNH7G3vx7ebL+u0sXt56wkg+Lf7eGtoIciW2VTwa
vo3cHAMMfuCZLjLz8+aSNBC3iqnNnmDNTHeK8hjrTcwznd5g4ok8E6txMrcF3EDlNMkcPG10QEMs
Xpp4WJs2DRy9zThzLN5la3Ext4Rt7ItvzubF45xOjew3xmJ8rgNM3Pbihu4FYyG+FglFEbJ5A9N0
0pYaSDkd6gyuqrQvOeYvHuuCyPrriO26XPzXzuLEDr6ZstN5jteShPiCJKqCeLdksW/Xi5F7/ubp
Hkfd9ppvTu8EuinK9kIEdwaX3fRJImSfG7vYFXXfb/IGD3ZgSvYp1skRWLWsTCkLFOuUsixYShc9
ZcsSFrGWhTWL2kAsiE+S5FOqtKEfsPLJTp677BTHLIgIDEymc7YskxHrZTQbHj209jxhfF8APJar
13bqOpgbkcqbu3pZetVlEe6T6S5almWVNVpfFmqntl1lNLCg6dMAXzjuxMALaL+Rh+t+UPVTv8DB
JvyASokU/mJ8y5TEPoXobDVi1FIbGPwiydpjXTky9EXGq+jBzXVdGZRFell6UlluyprOHlOAbkPG
w5esZ0oqjwoJU2OzH8bl2NWHytrQA/sGpsRayp1XVWqOZpJfy667DyTt1Ai8PStVEjcTsfE7dYFv
c9jbLrRcIClG9klOgsC37bdWGg9xRrdct45TVDq+lUSbapx8s5zXvOezPRVHI4eg3EsHQ4mPeWSH
COmN4FTYovFyU2jrLgrvomkMicLMdjVVZFrxJdmRtRdDTMeYinOlpvZz2A08gWZ8HvuSaMGCxozU
9jk5KZWrmNkOXpRv1/VzDm9oYJSE4fvdtGKWlnxdg0gnPs2V+6ZkXibfimZAMJmgcdNJtRvdQVnO
xy1nsGHM7u1MPlNL35u9bKMpdUrzHCDz3gf2/C4qzqZzt7PIU9Py3DfbUSPhYTwYUupiQXmOTI0K
vffBN5FvZ9iXJi1u7VJ9dXDNYWjV3lpnutWBznoIak5TNRM+oLuC75huPxgHRiSMNdx+RvKXBfkL
LoBPw3I/Kmmyq7voMpfUEZzI4FksuNqtlZcuCylbvSFf82K8marJVRmAFUHnSUhao1nakNW3tegw
5wIXZjOuJWMZHKnxi2lz0pTElnINu5zlw7Y6I3K0/ULGbNnCzUi68KJSCMR9uB1l28tL6YhzF5BO
/MxUaDWlI5rT/B1/kRvUioeR2g1a+FPZWxl0tyNT9cSWcVYSBDkUn42K+dBMDoXONVqok4F6ZnRw
17Qmh0oDXPZ4q4/Owh5SPSfD6F8O8ibXa9cJHO7AgKO5Ja9tJ3+faNKxwq0nyIdNZHumDYIibKKd
pmCimevPstLuZ8O+M03x2Y7gWCEt7vLXYhJvlUx8HOLvlaXFa7KHsJ9NXhrqfgTCMtSiq0asUNlr
t2qQvytSu1JreaEqroQsbyWn39qNtJaj7C4xymNrKPc1r9QicW9lGsIPJCIs5G7No3jTOPZa0Zq9
FkxcsPJDwQc2Fo1XVkFBOIr6MnTlZ/6Uvh4DzZtQZro8SeQWRYNL2MpzUzRuYUsH+K47DnfoFxC6
9nVKLB2bRCSwQzoAW1edaW3Utn/Mu+JLCx5lAsRlWRa2GjAlZVtvC9vYyWNermbDYeDXfx5q+bGs
aaRIyibQx3UcdHx2jk8eMwd9g7vT2tBsvxIfcBAM6Xqpu8tia2uPwTnQ5l2h53t8pihBabAXHbmH
2XQh72jHA7YSg31NaucIweJJEOs81XTiVce+D2rz2lCpFo1x242hjH68uesW+C60yxV9iFVhZMfM
QCtH9341ZOGpXhaqufw8pe1BrY2NEEt7ZXATTJ7NsBx60BmL4r4W015Ry4METfQsBXLwFZtYdtdg
m3Fntd3XjC7mAeodMBxJSmCYmvdJm1s7lUkjlur2CXj8StVTZNf0NmLl1cylVdFWn9M62mHqOLPe
Yk+q040yNAdjXqYUmZVigVWeIqMRa0dLP+V1SxbNmG5STbkkqZ2A3hBkMAzaGjXQNqAJOKhS7sdY
TXtEOBZOY1eZVC/NGGxGxWUMzU0SjDTAplchIdpokueWcB1yWujZB022SnrL77rQryOpcCVOCGnb
ufiwQ2+kzdZL9mvfw06LZXoj1jqWR78oSRDOm4SqfpzXY14csLMe6tb4VBrwUmrK06Kh1RbjO44G
aV+oBJ5SmSg62BGl3GVSe5ql4ampxQuTWGbQjeMG2YgCsKthtbL9fXek/YmA6UMf/tsJEecKmEaC
khx8Vz/OErAy13UXF9JZzrdxkq7K9FaK0t+MJ3/s5v55DGVyoigy6LUFLPDjRWIpl4EmKNJ5tL/W
w2bonsYS1IeX43b79dv52YH3+yt9UGOVAaDeOeBKKqHQ+rQSFiLMGcPFQ9J9iUvzN0Opn356PE1I
v5i4kEfy4xtT6bnZQVaGl1760naHKnwpspd//o44LXNY5jIabfEfLxGYYHGcSUQXmLj0pbtp8rOI
CX24iUklUtvfRID+5B0ROEDRQlCEDm7jwyS5LwAcTnIbX+KCkaOGJYiQk/Q37+nDcGm56X64yIfB
cRNILQJ4LpLU9aqtj4kTeb/+1H73NpaffzciA9dI6wBl46UWJxOJQQph3Ip/c5EPE8m/vY0PX41I
p1T0eRNfRklbIdFw4gt5MixwT/AvTJqEMKH/+duCxMVcBsqZgZ/4x7eVxnYeg6GOL1Z1reSQZvTO
Ct7/+TVwHZuMhrgPaML/eA2I3ZJp93VygTjpw5m3itKlsffri/zsoyM/0jFob2lY+z5cpBwiy4pj
4p1r8VSYx4hKMWExcIK7pDvouDaH4PrrKy731HcT3G9f1vdX/PBlMRdBvKRMyUUeGWs3j4BrfrMY
LFy87y6xOLENxVqU/yhfTZ7XD4tPU+pYgkclvyTHekeWt9udgJH5xjW6NVxyzte0l9e/flc/XvLb
ysrC/e/P8cMlSY7LR1yuyaU3USsgyFYJ5VHLfzYM/r/PTucjYec0TOPDt2XOYHlaJBmXoHJcVTnY
4MR//T6WT//jt6Mry93mOMyEP97YolGBP8OsuliUvpOtctr8Eut015LkN+/lZ5/Y91f6sMChAilr
xTKTi2K8RfbVCO6q+TfL288vQfKO4qB+xqj/4xMUg0Wx9TlML0VxNpAJjLBV1c78zVb3s0eIm+1f
V/nw1ac18TYgMNNLnL5k0uJs8PEsGWnnpu1FSjeZ8Zvv6G9vCzoAXltdJhHMXlKHfnxbJLtZIrfK
7NL2G0IvBtOv5ttf3wZ/e0g/XIJe2vfLdkHEvWZGVXYZoNsrEvFVsDz+fy6h2Tw1HHjos/14iWQc
cymj0ro02Ys07wCb/OYCf7uVeQ9ESJJ0ZtB4Q6Tx4wVYOq1BKeb8wjkv7ww3SnYLE4Xx5Lc38t+u
rMIn9ouu7PPrW/38d3XD8lt/tWThbdB3JXTqmyUbIuh3LVn85LqBMwE9Ojyx5Tj1ly/B+oM6Dd+4
jpAOV9f3vA3zD9JMsHnzC3ipFt/WP/AlgN/iFvj3aoe6AQUFEDJcEOg08bB8WCAkmbVObZWQjkeO
WJ84mbYh/jab6hutzR5FKq0ElHJvjqe9xdhuU+QhwsRuCewAJNVXeJy5sbSBFGMrO4xEGa9mAqwK
9gNPIYFnUaPRSbWJMMgzHK6UHkHsOL5OP1LpCP1p7e6m7chfUfonM6P2TlLfUFHnxWH0xXQyT0Ia
/YBQUd4Cfz6E+RC4VrCkd7RKue46dDuc6lehoj51mVV4VQyTgywXSA/gv9djG7z3Q/NGUJ5Jl1E2
fZvRrouG/K5Mo+sYFs+zPDxI9BSYkYa9S3UENEQy9oYpGcyqIz4Byu1VY5VfbSN5iaz6JjdobtQD
b5FJVuo3QrnA3sLSHJ4IETmQb9RvEkyt+AHUi5Gw0xcaiKU4a93BJmIjowGyMXXRs/0PL0GTECWq
YBVPIxv4Q2RAUZKTTzRdLnE3k0Emk+jcaJl1HHLnrskDhMXKtSmGep1AuvYkZz5EmbOP2vEgykh2
rSFqaPL2u1ARSzcPXqJpg6MsO0NaS3Fjew6G6vsmLYutUxqd35G/AKK01fZUFgm45PEVRcu0D/uI
Rn0hoyzIE5s5pS0R/aMdzUrZVTpDz6kLguskFQTUVMgf6F8uAGvoRaEUm27RFdG1NCX6lABhYwuJ
bvVlIvBv04TwnDIRIb0POQ0Loa+tApOrHsBDMYuAAWg1+yTDWCtUvy9gmnNXsRiwkqKa+1mB9G/M
gy+ZNezMkJN1nIrJ449OOJ1j4nGK0ZPn3o8DpfWXSmKvqtUtsvbIs1RIYclocEN2lnEjNzp2Ypys
btjNL10tayvRdIiPJZ2qOy0ct2NQTUGq9t482SdAqI5nj+ZbLfrSx9J4A2GrcLWWWxnF+uiFfZyt
RYjrBnf2HWPFL721uKpRiK9obWfbthlpX4XDnTQFzS5A005FDDwtDxYESoE2p+u5jR3rgoeXxBU9
07dSbjw5ifqV9vTGovz31bE5SbkE3V6yAdANBUOJ6uvk0KxmDk3LrWgc8wrTtgUPPuMYQn5soMcf
azy72vCWTdHjyDhlTa+1ZJDX4RK0xvUEZPBiDfkT+ozGY77CALVpgZYb0wNNCmQUAdDMEfKaPUCQ
Kktc3WlaPlJ9Ukxnmo8BBm5rjcSH4bZ5WIj5MP8hCE5G8Wkug3NtCjLBnMbryuI9bqs7VYt2hWof
epsM7xZkHaNPFVtAJEUnOaH/UU7gVPQMs0te67dySRaewt9dV+S32RqeFqTuu9IKYfunvHAn3DaD
fgBN82621rphmsHSRHgKo/V9KU3P6iJhrRTyBipi1lbx1Jv7GK6WPYZj0LmJ1baPRVj15XqMBNqu
SKrLO23omgeE+gO+C1WQ1iI3fb3VgD58CdPS2LeNyMJLFmahvWsrSf8ShMABTgmtlk0OfdzD8Pqo
4LvwjZEsJoK/Mz/gftnq5AP5QwLIdOC+8w0wXSvuwqdO77Yzce+A181tZCKyshYO3RCHaDnK4GrP
83ksOhBr+TyjFckvmRkiIlZY4XIRszyljDu6MHkPa+tam4CccdKuCZIQ22xCwmEJ6xYHy2s+9Q+V
QQefp3hjByR3OlAPK3m+OIT5delkuELIz8rIOk5iHfHP+a0yKBk+/KDZVplEVEMTnKdUVt2pTZGc
hPScinBQ0l1RIoNvtOIZpCXWX5XGkWWiCkmTr6o9sBqMX0dYC0WFa3e2DXqSOs9hhiHYkkBdjMcC
V1Sebm3gwMW8QUu+kXr7HCoGwV5T8m5q0X7OW+wCoM4Ii/MV5KgrxSbDN+srOL75cJfP2giZntWv
zvNwXWgCMuDU5qsEDUVbkn066YQX9rLi5gMgE9WsbuPEgPtUW8cALUDZyLFbDYuECSpyFak3egQm
xQiltVHXjctI6gFV2qXMqxvJXBKTZPMR1P9LAsptw4DhMIgR9dfY0rKcH43KhgYUnyeDGAa1Nfci
YOrfJWIdO0sj1f4ia3a80WQiqUypVFYdtO9CizUXJghzPzp0hnVnOakGT1d/M3s0DcPMYqvZ7SHJ
wVKBtTb5D8d1bdZ7vWUG08U00uLa2kHoYH3WFKZ1M0a1+I6JA019+qEV/66djn0pPaQLAFOGKFp3
ZctyA91DCd8Sx9kaQ7krJX4aCPudmLpX0SiHXI02/z1PfjP761RO//k8ecdk+WdE2+W3/jpPopbV
sfRzovyGDFKpjP414lew9DPhx7avoGJefPZ/nSedP2isUmIgsXXwtH4g2tLKk5d4HJQDi7z1H5wn
idX5eJ4k54ZWDdpTJAXMZZbK7ftul1qoLH/OdKZr1KxlKSv8RpfJLUs1O6gOtszOu6p6g3hQIygE
fPvujiDWjWGnrBTLLCCOZOM4Fkjd+oS4xo58C12mQ5JNGvnESuvcmCVT45HwkKsKs3wFRk06gAEx
Nk1SfnYgvbpMu16KCuc72czXPC45cw4lJ0nRE68aWmdcVwDsy54gRkEzPy4HGNo2kq+O5dUtcvWa
alK263NYmHlg0P+PjK1ksTSTv9nslLQr0CGYheHGIr2FSf42pNVduYTj5ahHa1BkiHWlcR8y0IKT
7YgzMW9fqAJunYq/EkCd1m15gHCKoHbEqRYMzknW+Wg0kBxj2F/ldH7IO3HvJNUhjpovsqRtEpHz
YucB5ZmdHDG2sFUMxmkW9uvsgM6FH1a5ttofJgufXZBh+UL/B3QEwpKjBi9pRH6hYZfrAI6uJVWn
QhWfEzS0DMVE4MZRXvuDMX2dY/VGifGdDba4jQmuceVEqxhtaugYNlJX0M2OFlSvDCitqktS7Gu/
FuVG5QghO8NGldtDpzhrpZ7fZtuOfcPqCR3AqWrhgiXVnjlW0TUCeE+CEtAexNYJAcQzGX8U4HM6
JB9ehXu1R7GH8ewtsExfVcUSmxQ+Y+1576yw9KzUKDzk1+VakdsMgJt6CeoJlrDJTikScY3q+dkm
8XWlMOV3o4yue71oFQoTPJbaPiRJee3kHG+dKdA5ZMl6rtZG9i3bvth0inkdh/AROCwC0LyBoMtY
tJcAUdgmt6vdgD+N07D1rGlGKZcVsQ9SDjJpCLM8rhw4/gmi07CC+msegsGuPfyto9ca8TNHsxDB
WPlsjVrtNiPbaCMF8zZoS90b2Ec5Z+us5dQ9K/C/whv1UEegGd5ZgcU9VWoqfrH81CJbdHE0QaAa
ZwmMK7NClPSHTBquwJifCksLVsWY277RmMfcVLf4ODBrhg7Hh4Z8VwlNpBUpO3mRHpiCcbTB+Bku
0nguR2lXM0hcTUP60iXdY5JrX8U0XBK9g1If5m8sUojNQ1IHB/sGdpLsJzYT6KAp+qMzNRdNaK8J
pR7uowjv8/R1SJybUS3uMPMmbm7MkHZbAkslI1xzPk04ONcEHQbmExGBVzVEGZIk6Vsy9yS3qQFj
bcRwaiaZ6HqYijnhwhkOARIRoOFLIn3E0fWo1JRrZk/yg5x8KdBN8vWX7UqUaMnjUjt1pf2Q1NJB
Cfs9Y2VMM6PhmxEE4HLJQSw7F+4IjlVHemqRl1tJeSxrVPuDxZQTVe3nltEiR3XN2fbCciiNnHw7
KNx4VePoZzUtbaLkmBW+/ndb/LYtKr/cFk/PRJD/pMvy/a64ZMFY8B+wIC2zIn70r10RD4mqUbXS
zmUPlPnRX7ui/QfUHBJiWGmdBc7AhtmUXRv97/9o1h+0FR2UCxo2Rn2xl/yTXfGbuO2HLguqNxQj
jOaWV8Ef/HFXRBQHol6S57OWRw8VMnZ2swkun6gwDc752q5M5svlzpgknInOQ15Sosgd8mRiIj8l
tn7SynaXJ4lf9XbQeJaVk4ARY6m+z0pH8UtVvoZSQauf+sABIZdIX4mgonooFK2PDhZA4dE1FjqZ
mVnJtkH/6+c80VcZyZlXdubdkC4GvX46OwaWjbHQPBGBaqvG8tM0SQ+lUdxrdApWMpJwV64pu6Xp
HMX2XrHQMETNSz0Tup0CygvBZYlEvXBaflD7BtJ8y4EzaBerb51SThfvU83AMFKVdaATiQE5TaPl
M54JjXom9XX0jF7rPDKfXqshn5E04Vt3RtsPZSQANDgUYIamxdMs6dNuGEvJJXzjoHTWGR+K2ynR
YYbcJyuEfPd5hDGeLbHuxWMkO0+SbiGIy7Rryh7YGvlDGs8MvJP5vq2Hdd8p4kYJluTR8l0lcbev
41unWxo1Wn4kaRQ81gTYrjtIZf//2DuT7raNbu3+lbvuHFloCgVgcCfsKZKi+m6CJcky+r7Hr/92
2XFe23HyrnzjDLMcCSIJoqrOec7en/WaSg1AQx5JltWRpSe/rGkQuaw0gWAHZMcK5RL+n7nyTcIQ
NrN7ZxN4K6hPRHJ9S8IqLCC5e4DUi5iZigxg69plDgBIEdEyKvrv4RRc5ARctq0f86Qk3ZW7Jht5
a9d19dlPa4oPtBKQl9cVtV3J825Laos6GwvZ3iJx0zQ2YW/wflZBaD3EyCcISiRYXpOUDpR6lsf5
+BpI9kn8zmVBbJEhCCS5ODsXoaW96jWsn7pn+sJImCjH+DNhvz2RGmUp1JtuY3ahPKaDxaqb17dh
A8/BbAGBGWYAUsLx4tVcA/Hrx3nZyFRwOnNWLkWsLQPaiIy5/0HNuZw1xF6rmge2lju9Mx+GHst0
EDb6qm1MgwFGMz6WBBsYu5bGOrQzCOl9TGBjhO5vCQTpE53/y3K0zOvIVGWbpN96omToNbjIEjYC
Y2W+0nC2ccVM0Znuz7CkM7iZ3AwrLykxWFUpOO/8bSI6ZvbRUxGwqHptsg5CPs84ndIzLbdFNGZf
Dz1/OeaongH/eUao/pngaQMMlHb3F/TMj8+I0kIBkQJ/O6cZgPRPxGP+6/T3Ly5BSwu1BQlgg8yv
+eMlpjIYG9hY4sxMTpdcTeVd7v0b0P4KG1J+r785usGQPXZR8z/nNwoov4hpqx//doajJ8B4CG5R
D2qUh4Tku9VKDUO6OpFrlh5WJ1qC31Yrm7FGfuYPVBE/9W21AmPExCOIIdUOoxX/jyYef2x8qY6A
R+/TxZ/G7+MgpzoG353gao6eDbdocKaWRY6atOd/S8b83HVgpJduF+QlUuKwNMHP8eZ8f43MKHSv
TKfxMkicfR523mY0zbjeONl4Gi0g3bT6p2Y7T328llpJItVgev/WpG7CYQNfxYlzhNfs88CvTl1N
CXSZdZasTmqVHdcCGG6w0iH1zOtm0NdFOejlLiGau641xmLGsZq3MKNNHGfS2CImq9ZNMcRbS5bg
wnp5FTu5CptkFPiLoGYUI6CYFtRFrNEAGebiFmBA+DmL235jGcDb4qXb4Nj00kmY8dJL+a+1UcLt
X4ci061bjhDUgMtqrK7bkb8iIgY6o8taaGP4ZJXGgZm7Gt6qBtbIS/ZWX217Rx6HThoLp9Uuu7B/
sBPrrvKa2zqZj0HeP0ibsS5XMsmSROKIanoNCvsY0uQz6MXucSoySDbKA7U6fFEE5xFSEawH76Iz
DTQX0wUdiucyjokppo5c6EV1riMZ77w8pESrv4US4kFYElIWmONYNI0PjlAE+2jfTIBjyVzTTg6E
lQFvG+1tbvnzgVLeofe17UjZrtWiYJulds1UEAa0uVxXQ3TKBtta+5bCbzBaNc/1nnrxTWhX6TbO
OdARbd3XlIpJdhr7vBk5WobZbVG3h9BiUcJIL9+nPmHwsg4G8A1yM1J7XYwGI1GiJZ3NCBM2jP1Y
Vszw5NGC+XRFi3KXtuv2tENi+9YWU7GwRmqsTY7NEYmCyUFfoNOc2lMlew28Xr3vk3HCPq1/CNl9
MjIbknsqs4Pl0bddhIkdXZe5m62MUUSgslhgDcfQLjzm2baNq7+jgt/PUrtsDee+DbVtGlLhd1Fn
MmC17CzjiDD1us+xU8bmKq79NXyaZSaHZAcxdesOrUkEnTfeztU0Vf9oKLtnaQcrPCcvs+xPhc6K
HNXjhZ3qVzO/tDdgpeL0nAXo+VJ7NRvjQ9PGfSHmo+Uzg+Y8jP5L4c4XTja7G5vpg9qx75HIg/4d
33o0o11LGVFkydFmoDHw8WvDDpP41LznNDCfLZDW4CaMoyfyYDmIc4VhLRPhMpw79n8cn51Qu3PH
5l5Q1x6DhM1cGFyJHrwyu5QJNFh0aItkz4ac1H9vPJRaeOe62T3Yfxwtw8YJys/UES4qT7sYcdGB
cJIXVextU5l2C0hqK6swIP12or0RQ3zB6zvYsf5ioa9B+ZIS6yxAHZtWiadOjMlu1DLzuRhc56lx
i6hmZG3y77PWT25G3yFtP6bGGlUR+fKoDVeVlhAGVYpCMg00Pkz8AgNfi2Nf2tFlJ2amEdO6Z0fa
MenFN4xqbMGIZMtOqPLdt5lG2yq05YPWMATeN/LSJ7GL5J49ZCu8hpuZuYp+6tLD5FKUCEz7ptUJ
HWEcqWgeUZ0GqHDoi+k2K5NhwYQE4qSyQRbriScpb2M++VXVodpwRkTsrpXKkw9Jfz3OQGwoRL8J
oioLiaeGrxwMamHf6WSQeR8n5sem4BijEyHF7V8nbfFGL2YZ+6iPYwA2jGncopd9tqzypekSoJHx
ro/bz0RhzqDlYqT3FJKx5T6bcbcJpfNSTNqigxG0EEaFpXcgXtA2FMdi8MmNb6+miQno1FnHlfkp
Izy/LRkXjvP+ubf8rS1a6v5R99K0mIxqPuZk2Ji+82jkzYPd5Y+2UWTYjeLbMZ2OuTfs2goqtjbE
j0E47aOBr+hIINXPtpCwmMxM5U3bzmcqHc+Aii4LdoWu6B+HuUaCXVxEztxveuHxsNDrJZ8Gepvk
Za5UUi6WWxEziTCmFePtbrQPmhH/u0XkLLblLT003sEUineQO3cYnC9ai3YYgdtnVoJD5bN31nB7
R3SSdkUcPNpkqWnc1jtbHW7EtNK68WTlvPosdI60HndwVy7oQj17+OJ9ksGlm5xhS+1AC1MhY5wp
M5NXjVKCPUS7LkU6w1zLK+N2F7zXq2hGkOiZ3oXopuum1PkzRQOgTdvVtnzxAfn2E1z0tr/ljLXi
3DxvmpESWxaFV7oYP1O7w00DzVcXMSRf5jQ5+G0rv7rL8nZme1zsGIKqdhRIpiP15lVsmseujl4k
Ok+95vBgmkW7yTNG+gshhivC0hC6atQciVs/5XoIt0l3z5QDqevlVXVoDIeKVwhIjcPwe5Si7CY4
qD0NpeR+mY10TWfYp3gVpZ8Y03JWJqdluRoADNLO/ofZQrYgHikyU6pKugI9/hS+MhLbyLLc1y5j
8D7JQ+K9Cfuf7ej/dAm10/puJzVxF8uk4xJ6RT3KOXflmZjhd9vMq6/ng//Ju+wKhl3b/N///hTx
+f0akvE9qEvSVr6C769homDLBi8KzjpnSZfKdnscxztmrP7+MlRJvj+cfLkMAE2q+pYEx6H/lPAK
iphZpaQPzh1s7wqCT2PyPazuO3E19MZCNtQI7a958H9TRQCV/+Yocfqo3z8+/bnepX7q2wkCFYVu
qwYLzwP3S9PmP/Uu4zdTAPlCMuUoRSGf1LcThPMbkSGTOBE9IM/7UiX7doIgVcTp00FXbImvAot/
Uu/6Ejb/z1n2S6rI4T4xsEhQeRM/R/ktzWTCqkqSs6GLtr7w2qjUoVFkQiMpkDiUV2SdTdjS4ura
cCBCABaF87Mb93v49NtcxUnUYFvrPjArVi7KqL8zLFEf9JEx4ydfdZhlizJuIg6/zL60nxPyF1hz
dqVpgxmjSV0k03nU0p4UtPnqcyBbYo05lDS2czmCy6LVPdLyLlXvu3PHB2JAnyRN8dIq+AXWXO6C
0aYi5BY70XjXCMU/9wXiBloWTKapPntJnf7ep/WuCfa3yHaAIo7G2aU9P2QxrAfVsQ9U736s3V0v
2QNlybBTK6xQff6hmDrACRTUiqLq1xQi4l1pZSA26ZIs7cKnlV+FT11StavcLlm9Ez+Bb6wbGwbP
kYNpFnueQbbhjgckgzUVRx4e5ghgWce0dBeGerlOWNe2jWGkB3TUwY3TOiNEkVqJaaifwBiwzxFx
syW4CeNymhjnHIV5FeaMGObNBNWugs9VAxXchEXGM77PuLQZu4++V7W73LTooIc1uLveYAxzTHyW
IaPGeNe11sEta3awGb2AgL8hr6IL4WjS2HsJ86obE1ZGPzmJ8Waw0111HSCAKo5PYd8t0KcSDmNT
HSLHZaJ+3uh2di2QxA5s4Qqs0XXyQRLtsWqSY6ETUcqcYZvSOVk6tg1sXDvhn+BGyqKVXeIjCfOL
0qyfTS05xkPEns3M7qwgHNZt6L4LGv1m4Fzm2UimImydhNzWhJ/AsnqLjaQdxvMJNxabjGRYJ2VM
vx3tH7Oy4b7LfMixPsGXUZruOpuD93kkzOnr4FxKj7nLAmcuNLY8XOL4fmeetVZ4hmQJEJvtbDiu
O4MmUjbdgwsYV0D3babv+piGHgPBaLsvWzlkK1e3CXEEGegVNyCEw/8Z83tDBrgcxjKWia6Se7aX
LGEH9dspjPqVPuoIYTgDJ5gwmRADNarTnJPR2C+pEprrSAlJdMwkUilKfFwlgzOyh1b6Ej9vnEWF
W8oj54L3Es1Jg+8k84NPyDuAPzDK3SolSqzcKEqSMvWM2OoUXzslUCmUSoUxKG/jqu2/0qzket1i
IseKgRiFMVPyNzF6zItc+Vi+PDb/XT9MFvm/LkWdoE++/2L54Ie+LR9fJHAuw0Lq0QwSgH/6o11C
vsB2TAYhYKEpHMAfywcSOIqHICNt4CSK8vhH/emLHo7+C60UZtUpWv2jbon4UyRVqIVDeoZh8ru+
Yq6/2zZVRUVmJYzDKwSwbIc5E5BpsZ2zgcOL2z344mFLvkrZuhJVFilLZWuboAXWGyodWNwGqYxu
g9vs8JZZ/iulnFhfD0OeagdedONfGIxsG+tg1jROp0keZWSeRFj2S6ODcjUyMjmncJQAXgCeJYZo
kVCdgPMseap5jAnXU+dgeaSSE+4cwmEVmhBbo6YAv3lXBbUXkyNoWAOqIa3PAfk1BpisCQZS4JJh
WyQuLpa57bQPm/Ly153nv7e+yk//9a3/3L29/vnOVz/z7c4nPkNpVY3E0JFTIZkf7nzJiASscELX
X/dU3zZOHhsnj6+FQzGJ0qdqL37bOLm/US1lRJZ/YoBZ/DPYHGXeH/bZbJwYOGHbJphuYKjKUEGd
77fzaVszv1+M+rklygKkyUZwbHHLal1J+swor22VfUHYRBedhXZTFIA0WiIyNQ06jlmkZiK2hsda
JWnEl0zNILc9IZvUHctTPWvLsgee1rrvRo8/ysyGnQWiHG/QsPcQekZOqa9KynZdAycm9xSgaxD3
AxpQEYX5HfzwjqBw+S4H91CQT6kNxpdFZkULyJ3vKcyKVaEMowTmdqNyjgZzEebXZNqYQBbiSrNI
QsjBW7eD7pO403xMtjUz6Wl1Nfntq9MF735GONCcckSIU1nt3dzD/VpoNy2qqSuPLiGUuhCPhVXb
rFiOs/JpaiwDjX5l7k/AwAQ1Q8/61EQSI3x16bZ8h8sweYpM664tvHKlxeZHmQBa8+fgvu6ZiKqa
fSeRJWazsWO26JOuJznQ6nCXeON1rsenhl1blgeHePbuoLM7FLsox9WmfoeqBGU1H0IbklBJfSKA
Zmu/TtCAl43TPLlwvAlAkKWtbM6zQr+CfWSQSYyuI4/Tk5YN7nAxTdQkIIDQVSwvdJlfunN06Kci
2Ftxc9NJAAijreMKrLOGFCXBCKBu4K/SlTPD0q80jSdMDhMR3DxKE0KThBbWUd64Z88sp21K23DR
S6rDeeWdgqb+MCsCUN7sBNcaPlcKMfa7h9bxsprMz2lhk2eoZaGvwtj0LlNUJss8r9kiJFQgaZwm
mzzFmkz69UxuqFzqqXsetIKIsPTIVU3F5ywRFvjW4qKrzcuyKHEOWDNTlpEgHUz8d2HY2jYemSbt
je5FluFDkjAzVEMmQIVGotmk2IRlBIRKrigmzfzggB4x/OItC3ziORbRsFy7NtzyswindRdCpqtG
d5knsl7qbW3tJSzpUmYXI7QIEVjnyUjOwupGSvSeqnjHj/rg39toA3ZgjEB/aM49GxSbP9sk/Gli
E3A7qoBVhgNM12+yqb3Qh2hbJfFNFAVr2aXPg16/2V5dUAE2Gsb5YbvUSbeqJdirQs9PRNt0tnva
Bfw/sZU6+8HOAw6eB4ohbby7JnSEpp0eSwKyi94oNyW8BKiHc7Waxn6f+DOk4Fy/HNLhLVQZLanS
WrmMqkVBgMsiRufRzJYEu2KV8HKJerU6ldSakpymUmBoPYtlwjzjqBJik8qK5ZP9qSU8NkC+AbId
Hyu/NomzkTBLTHMbEzlziZ5RI7k3iKIZWnPN30fJlpCaR1itVqk1/uBVMPfDyiPQ5qpkWzfrN41n
vUwq8xaIkJOUysFpyaTtC5WNywnJ9YTlBCtfSHjOVSm6MhP0J4TK1vkqZQdR394BXVnXftWB3CSL
lxHKi3UCgS5xxmVlNDPCdLJ7mUrxTSrPx/YdiqRKBamsH1AZIGbBeB3T51r4BAJdlQz8d4v5JZGj
cqV/vc6eipyg6sf057VW/dwfa63+GzAqllNKbURwfmpzIlVh7k1KabPksgX8ttbiyyTCyvgTJKrv
9piW/RvhHpZZ5s/J8kgu9A8qFI7a4n5X0GKhJeQM6pO1m244D4qfClpZmQrm8115mVnUhEtYlqtC
d54dDlaF0z2Sy75P5msf1iTJ6LVZudddG9xjIyRliYBmWYKMqPLpJI9xoL1bQ3KfacA8DKuOt1Od
v8kWihSpg32ZxcATc3IrXQHgqvaXISTWJdmSFy3vyzejpUNlkdVck5PzGf6JyfhDUfSD+iIfGK+P
rfAxgzmST97zDJckLd16OUTV6xQn115ovdbSeBp7+JGU10+EsovlBA5yVVbxoaMPukDI1j9OuvsC
bTI65CVWd2NgIdLL+D7p0hd9cmbEicBlMOvCh5p3c2W+9E12CRl2OUkHiuo2wUpc0VhZ4LS/78Lo
2Y203aAXj02tBReOWa68RiyzvL80YjQF6XQ5TtGl6JSeUC0aUfipKNtz0ObMg8jh0osGHnGRuRc8
tKp2AeIPi8mtgn/D7mmTZ1aAasGfuG2aWZVb+lUqIK60NsDAJDahigisfnbTUFfxcmWjhKChHWVW
DLuidXoY4N16KGLYP/LI9MO8EYxyobhKd1WRfqphXqxas+H4XOvbWs7h0u67K6SDOz1muEv3+3wb
5tB7IgBXrJ189kzt2MFMOal+0+eJvKbOuLg7s9+JX0fpe2qg6AhX5JyW3mVWipWM0QczvnIcghBR
g7Ny7JkBOwELKNWZyMFWRhMUvs9SqipqmtATTZ0GmGjUZku2YtxskQc4KmMYo3VeYUbtmatqN10D
eofgkSKeXQ8OblVH8X4r631S1lWBLCxXHtaQT04rrXt2jYtKmVqZEHaPlWbsU7c4lfH4Qi7sIUTu
WirLq6F8rzMMYuinOGAnZYNN0ML2yg/bI9HpIg5gM1U/lRW+9hmdWib9uOPEVWyo/KPwnCSm1GJv
mVHMJA1IJkJABVZAQUsukfrWNlKgRNCNQOWDEsIkGNODwDB0aDEMFjPzIqDLLhg6Ouo4CE0lI0xp
Zri9+xY3wd4LAwbnWIek29wNeAzLTruHprHXc7XPEB+FlPtED84a/sO8SantV7yp83AUGBKtrjh1
SpkIkucaodx29KOj6CTDJcOu9Aqa5swt41yEMnQRCIhM9WQdynQ4DI1+pStNI4axlR+0T4MSODZi
3kQYHcksZzRTnIsa16MdlQdEljuR0D9Eq9HtY7yQAj8kYXNYSz0cNsSRkN1um6J5DDBKIqM7dRgm
w2C6yfUUAQtf+iQNN8wEP5KR2NpBsctk5OITzbdSaSsjp6WdhMjSdSyqYsEeIuB1plSXgV4tQ9yX
vac/6UqGCX82XXn4MYfQpoVDIAujCgHsOXviMLtzun5Z4tY0yQ8vOzc/0VF8mbFvDhq1MWycKVbO
nPhWoyydgG8ZZDTXc+M/RTr5kYXzxeppKsFn6tK53rgF2s9pRADKrB7uH5kePNyggmDD2CIL1YDD
hmF4FlhEfaUThb1zGqAJryMP06hSjsJhvdRwkFaFd1krKak7jAjp0JRG+EojozuOyJAsTKVAY29n
9RFaGE5LTKcFkGJiXaR7tccRE6plGJc6bWi6lczr4Uo1lTQ1UvpUgUe1UkLV2rA3uVKsVm72UuJc
nbysZaNa7xJsrEleDqtGGg8AtS4qfK1kLDAJatd9JI2lKe6coEPxML/R6LydKW0dcxv1q44Dtszy
k6Zil36VrgWWWPCgWwdrrFD62LhF/zPUKGUT3LKmGXwkSjYL5kInwq/abgxHGUaJkhY3rVPZNYk9
dLWmEtfKQN81WffUDNFthdl2wnDrY7rNlfJ2xH2bs0/lNd8FU/rYVmG/H8UVG+xVjDTXjCU43Gyk
BVucB7S6kY5f15X9TsNG0c7uvm7k9Zwauxohb47CUFOG3hCeVt+Zt4ly9+ocJFZurUq4xsDmUJ6a
L6pfCopofztlALYzJQMGHHMwczInGdu0TVhJjO6w/SK359s5HysgjgtZ85Iod+5qIhdOkHtXLnkL
+HOczWaNna7Z05cN+n5c9F32Bs53LWQeb1hhQPxxQl+VpipIBpTN250fEqcfFS266L3+giw7B0ht
+pzXDahGBjuTCQeIFXOSpBJKND5NH3vyQCt9kjUcLjffGGHjaIsslswnZMGRfkZ5ziujfYohzYYc
/mqNrsFgXzdDPl+k7kyldoATH1EfR7dYDnO6QuZ4hA55gV3mynSTjRjjtWMy11H5N0FVH7qKLppj
cVxM3W6dG9WTj7Na4aHWtdEgcEg40Agf03zbvvUxUvvEfUZ1feoHUIVltEK3tGlxaaO2uYNTNq1c
J3zlyfqgW/UOtuZZt8cPP7YOzAiybQ8hWUVWsWw066mc7YMTZSekcdZSOhmZBxBZJXyvjiWa6hZ4
tRosu26v0qS4aRtki/QL9mUgj/YY7RjtWARJuc88TBeFnqwih+ytjK1rb8huW6LLRBgQ5+T5XY6t
ZJlpyUGPhr2uaydPGEu2QltzrPat7221JNwHTnVgAPlRCuuQ5sZFbbHSWi5mrvLdj+d1nATXo89O
YQK3Nvvhum6ipV21H1noHbU8XzbcdCPmtc5L36Wlk13z8n2hRzfA8NfSjJaeiKeFlTFNOeq3TULU
qs0ZQ0Izx+hrsEaNs/F7ROAqZtsxvNTGxi7rzCcIGss0NsaNDUPdorfC1oIyS55WPN2Tp9SiIGLY
WIjpDXkJpcMuSBEAxQ+e528td77Se5x1SWvcTQONm7h8LJjRWlkZ2h+tjz75ddEvx3joaERYl8xQ
XPqB9TLqrVxDa1gL39nGXrT3It3bBAG+vmT+KCf7si1pmfN8b4/S5GYJisFmutxhRGEqjbU/Sfdc
cPjORbdGryWJYevXqdCOaUsKVwusTdNojGrYobGoG5hb0L2f7QGYpceTBjTZSCfZhSjIRMVoz9el
Jp8J6fmbMqqedChxC112m6TpUzhivGrXN3YAnknYwj3sCy/cBTUzHrStTiVH3oTyzFkz60NpBNXK
lIzBVHX2mZ5RwxYRbrfgvyYA/UZf3QbRCBh9zvaDA5Bwajsca2rVtsXTaPBFi2mArOoRPGA1iUsj
iS6TIVmKWKAxDufmWIKcI6JrPZqEGC+G2r/2mvQZjKjYqa87gjl6GjmrOegS69kN29u8FNfGMEZH
z8oZZyr3QanfmczazoWtwzHstoFeADBPjlWgbzuHEkZgZ59pDhKysMgGWu4dcZqLiAnmpJfsM4dx
3Zjt02RUN95YqbC/cxkbwWXmxBsgzRPzUPFDlXrPYrRuwHoVB9uKcyZ2JcHjVjzPmbdH8aotyYXn
27znF2uVsYHu367KXPS7GMg/5kQVLAy+hAxHIzY5RtRkHNfu1yRiYkltbX5NKH534vtF8OCnLLFK
BEhPIqBhjYcc/HMiwIx0ncxmHp3jktR5fmrmceGJ27+/yC/SDVwEryG1WlVkVae471oBiY9VUmua
6KxPey0/6dTnNHHXDl87RX8Zvaap8d1hUMVReS0OzRABDUxRMH68jE/JmFOAzsbd/DwU95r1X8h2
v/j99FNIXBO85u36+b1qvEkW2D7Scz5wo+1cnyr2H6fvX3wWv/r9cF54h3ijFLD5x78/cDA4WnaV
nV3OHfaV/Xuo+y/fHxXH/U87/8/vz0+HZWSBRqjxKD0zKK1ly8TY1M6K4bTxI41Xf/9SfnEpHDCS
mRxhA3jyfvooUjfQZ/K1yVmPd4wiMBtWwvYQS5ZhYAd/fy31Z//0sn74WNQt/t3dpRtRRsg2Tc+l
tQRIgFyEr5aKIfWbv7/Qr17U95//Ty8qd2Kv6NyvF7IYl0eAFW5YR9RSXP6Xe+0X30vo2uANleDN
Mk2V5PnuRVl2bhYsvPm5sTZ++tqPa9t///uX86vb7btL/Hy7zY3NXolW+Dl3X2P/WWj/H7ezmpKi
2cjEFiGXH18Cgga7FZoJWZ8noAUAZPq9bveXN/Qv3iRmU3Sp4i4q0fTTIESu0VFopVGcZ+d1cC47
KBN6+1+eXb/60LmJaZcKhf9RNa7vPwgvzMp8cufsDLgVKodbUe6+7ikJlyuqu3//ifziWq7OyzBJ
0zPG/fNzMvQZKfBiOz+H6ky9RmhHOdypFgV7rJsvl/q3tajG//546K5e29fffdOXr9nH//3vTdR/
sKP89PHnmqf6wW81T0P8pj5tElg6TUZVv/zWWDdIX5GJcmmTU2H1dJ4B30qeoPnJaTF8TywL4hNI
pz/ai9Zv4LuIeOk81ymh/rP2ovfjbc+6Q2ncVJo21lQm0n7OPIZmzrats8xTXVRV6Ry1FKAw9XKh
N0w6sD9Ozl5nWglnZd/gmD9088aYJsNhC0ZKCE52eu6KSoNVw2SwbefM0ibatBrMJj9kEKRuJwtC
SDeK8phHbfHeBu1wQY8xuRXGUB9EEVOqa0fnwzcjsSuE62/wkCp3IdD+lxBKgceWmBZiPZQL4aXb
xDSG1YwS6a1H/v5Zs6L5xmxk1EFAJiSWT8w2MGNDJkpWq9GkVWTrTJRHIfmdLOv8OxOg5w1R+DS8
1WM7CZpt6hjVvJ/L0OeYQycYOojBtIfJBTudwy2nWcEE8Woa3GJ6JabeX9e14Q463yZTkNQFE34p
ZRmvMzuq4nstnm1Ol33iOOR5ZFVzELCA7Ng94MCk66y96LN2PfPtpVPXLmqQxW5bMviZ2+FK72vP
PvSlVb+iy5UExNi9L8hZNCpf2eNInaLcsphrQ5E6UcPwVsUsbmaj6Z2dyZzyqnDi9zZOw4sSueV8
sqmm7t3KjfobHIzGZqrtfLaWITfmcMoYUMm1f8MGX0e+VKzxr58Il68l69rPTnr1M98eBqaJvs5g
V+mAFRWeWmW+PQ34J6imJhsdQ/99YPnb08D9jVgOE8v0TWhMKCDHH08D9zfDFh7/YqnwJxGGf9ID
sdQj57v9z5ewAQOOQoVBCUIzfPjjClVXTSZsRJbnsmyYXeHQsag90l6lPd0bcbX1VS5uIGvul92b
3vkvkRwZSx7FAfBBuqoS7d7rsTrZ08megU3boPdNH7OEHkRnCQVr8t0rPQ0MfDSdyeyPvk1G7zRY
9rHIiq0beLsuNikxoNdxJZ2VOkC/RtTtVtpFt2Fq+EOT+QHkCdTcXgQnR6LdYcrfX7iVvZ5oslPV
0beED/a6DRigNN0Hp7SuKAWcbUKngJTyHiB5nwLombb+CDNnsr3rNA5uAw6MuQ3efrLpLQcpje6p
FR9DEcSnee7K17zlOpPdb2eN1rcFoY7c4o4yhr4JRoMicDqElEcjHShFUF50epCsTeR7i87kS5qE
1TJK7Y1XpW8BYyLtxJ9e9g0N6hridoE5eZyhZTg68nQmfuo8Z1qmpfPdhKtapMYeJfwB82B0YcCi
8+n+ICfGlOYn9BgS2rneIG8rI5LMrtbtkl4Sr8KrBU9puc+HjsfVTIvbbux0T8H+khwJzo2ckYXW
f2kC9y7WoMNHmrUTk//BuSVfMC2DXkFmq4YmD+hW4GOa4DEd+g0pwEy/ozsC836091R1xpUIyhtS
pbsRwuAytFEwBHNTLYuo8WFZ0pXFPB0vyhgpHgWC9RxG07ryU4E7JHmvDUo2fYWartVmRUUxXCJX
CTO9sI+gEoYrjYjtph90L2EDaGbIPfx8LzvN3hGgGpaD5ib70rXxfQmiWYKoAafVeNsWdlrt6iYo
/FsXXN2FIcNPgVaUa5cZpgue+9HSSOt9XQV3NHAYumvNndAIbrAjXDdhZ697BsjcPi8OuVufmib7
XIwoEsU8ED/un8qGgrGco4fOrIAUWp617P3yqWfia+0087HLx2OW6QKsSXw9ty5EwSLYqlZ7zsjV
5GsP7WDoSzHMu9ikliEDcXZIx3Y8rO2I1DD2lGJBPnYbO+YxlYRMdK99mUv/3OvJvTfSF8tsfx+Y
lb2lM5MtY6OK1jWt7w0JHXzWySkMtOWYBuFa97xTnnq7li37cnC0T5Ef3QNBq0jLBEA+TP2TFZUP
feKuGHEk1YZf6LWv7bVmaM+9oNA5tO7JGityccjfrmUiXtoS14HhfHLm5kAx7nI2xCGIZoZWCvs8
FoV5yutsm+pUvEtHHqyxXiLc1heaGd70gd4xrji9mM5doq3F5B7KKNp42OMWfshwVo4ZOOodY9Em
6TV6H21pFvVzqbU3MTGlJcXtqxBT21Ja7coaACFG8VrT5G5Wrh8m5JF+1HDq64QprdA7MSmH9CM5
E+9bdoJP3YTi3ztjsE2y+cWTfbtpob1IYoY2WdVUixWUpTp2w7z3yugNwQvhAcNgWH3wiKHHt21q
v3n45lbd2NBDqZyHQIP/Z2Q+X+IiJJYctqS2eRYSrUnHbZPDFvxKRv93D66Okn+94l6hdH9t/rzm
qp/6Y81lMgKTFQ19NfzAXve7NZdoK6kD9t8g5b+kVL/twJVNln8y2APBtTe+DE18C/h5vzFIYTJe
8zXfx5b+H+QOSDj8vOYSXwDdqgYjYHySPfhxzRVhkJNHnYyznTI8sCPlbS4qt0pOsZ8uxdxcu+H8
6AMqMFEjbofAe9SgP7Er9KmyB1uPOUKQQyMhpRKgXlFfy76AcKAfOp/qezburbFZzd3u/7F3Js1x
W2mU/SsdvYcD8xDR3QsgZzKZHMVhgyBFEvP4ADwAv74PJMumZFnVjqhFL7yqkiUyBzLf+4Z7z7VS
5bGKokMYbQjhOWmpFx05md3AtiZv5WhM6zLBrtae5tfchNQ99VbmkxP0iJQ2X7uGQuSf7B7nCrSN
Do3JsIbLRHbGugHZwN+rZ/MwsoBmWWYyUfN7J/9UKj0Gz1Z9S2oSPmf91SXWG7pIRiqrPt4U7igx
SJiPclLu2xmKwojEKXVtjKuzd1Ha03SmmNm1rU1L4g/mhBFjIhRw/iHptlbYoxSbIY0M2orQDzyz
eoLKPjTx7sZtw6jW+KxmDxYKQGHjbMByYsl2Zy9M/9Dp2pU05GQGVkYmCrt3ssdXNYpcVl1G5z1r
CexR4nKxoYDIiAGOlNkOy2qzhqYCk8gc67W6xGHRpCyjXUitKsAtVt1DC6kjWRwQkeyu2OnDT5nz
9mqojBQbLgTM2uFs1Ze4XNFCJYsbiJZFmVHtN/ZDNbe6j0RQrs3WdP1qSe3t+hgrolcV69ALEYE6
crpCLmP67OXVVQp2K67s6uAxI0eQZyZHBE7pSnq9OMTR4GzHNpp8Btxg/xtk00QoYrcEW/aue5W7
beKmD5osjHaarbwMRNH7pMk16wGFmq81FGEJUpCdqdpvnlJZfo+Yc83iWqc+NPe52kPUtNL80jWo
eTRRomZWpmTtkY+7NXODIJVBWFs3bt6KUfO21pQjrm6V/NKZq+jAO4dwOpTls1uxhtanRN2FKoR1
AbOTZEvoj4bWZS1tGQGmBQLul3oiAqICpusLi1O3c5X2TDqVPItk3269GJkMEUbGtu7sfM0Pj8hF
Yb0nTJhI4IrfNfw5W/IoGR+rc4FQxKtjrjrXfFELOClEx3HPFYlDEBN7g6Y2h3UYSU3hWZY2btU+
f+EzFx1a7sudnLOyW8ck/ajr0XBHLi+ujvccZs/ORdN+VWlQfaDXi7MO5R6igzoJWnW8zRUtQvdB
VG+5hPZWpPdOihcF6hwS+IZojeoDSA9Zv0rU3OdL+G+4xADHxUxk3RINnKqEBDukBWukBqdLfPCE
fNPXl0hhFnYo6GqWJHN/hZfQ9S0bATuxec3e622c+8NTr4YbuSQVj0QWy5TsYosQYzxEB7Q1D6Mt
na2x5BwDQFsOEe/IW7HviUKu+Jwq/VKcF+6t6lqXDaHJNc5nvyRGGVD7Z51Y5SFX6KXb8bKbW3fv
Er1czeJGEM7ZfMlk7riEG2KaCUxLfAoRck91yAmwZ6j/yaeRkaBoiq8juDq+syQ/9zkZ0JY6P49p
ShAD8dAJMdEZcdGuIY/KaKCQXJKkxyVTGusOm7yEnGkTXcRL6pblk5116S4yBnaXJv70sfHMA/pU
yzcJx/ZNq3jxhMWZpfYlW6HmspLKjS2E3KZZlhwiFt/+WJEGnzEN4CkpHdFq5FbVI2dSWMnoqmAm
7ws+Llf98uGZ1TBcsapKd11txesU1PVWRfp7nUdtvXJJsGUt1RIhnNr099bobWtTm9ZzGmOBZW/I
CeNM27Gf0nUoEoOlamGuvTm1WZBb72KKcOaa8x6VwElFN1IY6TlY/2JtSFWHzmzkawMP7SYzRbKJ
HUvdokYmoQsj0k63R5zXNcviOJ9ZYSb6VjdGjvqUZxsXfGp1SQ2Vl6Qt2nGeYxbilFKbUNvKkldq
tYO1EHwiWKWavVUIW/XTAiBDA5QOrwOFPcdU/3Wy+W+ps+RK/H2pc/P8meg6hgs/Q8nwlX+UO/gZ
lmpCdchh+TpV/GPEoDFIADj27W/4qj9HDI5hcysvM0Dmi8wRPowYVMogXIKWywfnHw4c9UXj+eOI
Abw8z85STbigPyYQGOlQCvRt8jTmLj1Pn9Qbdq/puk4HQhXHboMLUPC5tMzhUabFWY1HHYm06/ik
TCZBOEVQqEtXI/rTJhSdQVsxlU5gq4lypnbzsxXq84XXd2/SbkBaIhLw6zy8gQVhH8uBa2cajIaP
69BcsGJcp1H8qcPxJ9WSEDjPPRSdfjBb7T0bp08yLg6OmZ2aHAmIpu+8BGy1l3I3JIVRo48APTAD
mFiNqingg0BJNi37LXWwR9jKUzYob3JYYtzA5AejBM5ZVsVrA5nUz1QoIAwXOR1hZ8qMKcHg2S9T
jIp08YGQ2jsQOkos6qqfqk9xUV3pNuryCumkM5lc1j18CUA0fXSMkr1dG9eNsBFqhW/zojwrL20N
jRKOyIvSszfzmN4XDc5BhOBxad0OFkBHNX2fIrNeJbl+5RI3ilqRG2yIBP1gx9qgJxCsz+N8M3Yk
gTceZ2trTzdF1FmrDg/IjgaXbHeMAGu17B2qLdjYBUnDgQhTb82xKFbgV8DsmNSr0Epxc6bX6P10
BrM5l9dE3rOWAO63KmIn22YRlFRUMhnrdkKM2+sKMLpvsmjc0lvtLfZzq9boEjQ+qbXrQzTzn8pI
caKjLubiPhWWggeEUEXevmEORoNydhgTKhXLfRfoD8Z4OMUdyDmjEJ0DKbMT3lO7cBmLvHIUROt0
xomphRuAEdrJgY0TcFsh58B7sqlNWR2LWU/uGCN8asmNxSnjPWWQv7ikAThLE2yLUvctVhX31ivl
3gBkW7dhj3SBuUiraXdKz/Hbq9JYj+FcYsTBgIvWvfEdwX5LlB4IBN5LQwzHEQnsLb8BjLFA1C0x
5eNlOaHrd3tZ38IjfxFstM6cTB+Q2cRvtUa1MJuTimpOu1AwHTN4Q4dRKJYWOF7X79o+bHc68rub
xm5y4kOd8jbTUfrVWkLqtlnfVm636jpb8eeeyXSUWLvRxlUNs4BrGbEkwQ0T8jAvDBSjHYOClPm1
lSCuY3nGLCMJ7UM3qc9jWAdNLD+5E14go1QnCKjg8CPTo+odTWWvKJ58ylIpER024Spxu3I71lX2
OTMsscvRihGc7h4yGY+7gZnJuu2W4OqWoYcP2LG9koYWnseILI7uMF0IWj9SBtigOlXCJ7MY2g1J
lYBV9RIsvjsT+6thusDgM6+/HMP/3keL0/NX91H5P/y3tnxuX3+aQr189bc7iR2YZixmuCUlziIW
6M8WnCWYS/fN3UNgLnkjbHa/3UkWf8MyFxAngLrvPXbGb1xw7hJTArrOQfz/T1pwNsg/3Ekc9My6
bcfSuJV0Q13+/sOG3BstpSafOr5QMlcHNclyxuVc39vLwmb4srvpmq5FYTkp7HSibNnvhLIR6R2S
+5RybNkAlcsyqGxA6kEPXpZESC7ZF/Vfl0cRhDFWSWMOw7r2m69rJgMSACCqL/snmsiWZVT3ZTPl
duQQtBbjK79UME34czSnt0WVD3ecqKke5JlKxrBG5BrG+zTe1HUOmweX1w6TN7GxVu98KjXSOv0J
JNmnuvBcBlFWPU+BWXIWBYpoyiADfX9pZEP9aBRN+qhYtbVjBQ8ySxvykPNPi1w/d9PkyByXmNgi
nIsocBM7DLxKB7amFgEVZ48OxykuHLscrgvdRolHPLaJILkcdr0SWtwijfukU47P5Mt71ewPbW+P
vuMmlsOwMneuFc2tZrjYRbKDsj9/LnTFQPxsTqIMJpVRnI5Fykr59GPWQk7uDka3tbiOFLHCTzQ8
Is3VNNpMOnYzJeq5XNPks5pjzTbMQ43zwphnD6g0HRkRt220dSgXrkQ7pE+GV4orzxEO4Sm2xhUi
zPi2kPWFZ4haXlYK7+ZlqUQD9kOhAumPwqpv9uBKe/qORE8fs1zot6PX5z2lcs+QW5Zqku9Uo+wc
DGNQn/cN1vfxUDiJKd+wSkZvHk6ZLXLrEDl1XKEf9BAFCoVQkEJBTZO5iXiIDa1uTzj5vMDmPP73
5PriVTLQ9fz65DpUZBj8jCG8fOm3YwumigefDUsSS/qvM8APpbRFbD0nFj8kYPks6L8dWzCEeRK6
wzGi6lTgHCbfJofObyZcoa/fjBL9Hw4OF9HLn2IllnWgEpF3YZcy2eRBa/n+1HLwtZOOPrWnSWET
Xvt6rzXMnwHBsxSJy1Ni2kfW3vGFbbVbPgnWVTNlLMYj9doIzeus7d8qtW7AncX4EYaz2NE2UHbP
MfsFyoCCudTO3VLDdOlABzfHF9AT5yq4U9/oiwsED5sQv6KIlQ3IrysKkDtnAtA1dgFc/zeXwRVL
cjY15T7rq1WMrZ4u0thbbvwJ0X0AdvGK1JGLHt8MxoSLcSl4PXs8x2/EJ1vD0RTdWUi8FV7ROm/l
i5d0x5A5CTbOJyPKt0PXHcrQZi3onQ1mA1YtvvAqxi8z1t+4vuhRihoV/qFRv3dMWlV0/x5lroJB
NdXSCzKP10NPwSXmVawOj14iLuO4P0ZyCgaGYiYCXJwP4Mxp9713gZUD1Ivs8VL0h9lzn0PCoPEZ
36fpsFeEtxoscR1HM51wuirq2bfr9mYSE4uMMTlFlrMDdLPSUvvOEsVunsR14XYvpT5Sq5UXqA/O
B7vYkS1+KNpp1zds1iDfOWl9wcWFwtnbG5F57cRO7TNG3XVOyWAjl8esdxRfmxqYY9mzUZnXXm0H
cRKy8ACA3CvdeaQXqzkagCiiinaU69Qb95oafjIXwIhnrO1ysSIjBg8X20Ecqk3gFM0xcXOJ4aTB
GUOq06pK7GeHcBGIbePWrS3K4rG+13VGZ4UcX0rLhqPWtrhN1mLy5MzAwm3THQqPeN9VbHxO5jxD
EknR6RtbIlBZ82iSn/5S2y9FftX0+XJaXmdVVx9KQtQDsTQFWq4ZRxTHw2qYIL/kI6wWD4HGCnlD
eq1rOqoQUPX4LHZpieOW/TDJ4ksjUupE4WhLc4I/u1l3S8PSL60LZi5iBOhmEnNqVoRJEcFg2Nlm
Xpqeqm6Yv9IHsUeFk2Izw07pkRJ3QqmVvsulefIU/Vahm6pcY0WVe5p1a2PSbcGekauMJsakFWMH
dmSacq8gWUmP7dKy8W9p3mr83wb9XLL0dVXxSS6NHsvgDvU1zd+8tIFpbb5E2ON8dWkRa4HvVeDy
Z6yMRWBMXz34cf5g9kUwLE1mprtvUe09lZN+B1T4jefPXLRSoWIuLapR03Uy1KlXVgmti5U5voRa
29X0tqTLnAZ6XVZan8xxeu8d9ZDSC5tVnGxGBSsLXXIyI2Yv8uZiovLZFEsrrS9NdUV3XdYxcZhs
KNd6PBir3gQGR87gAylGvMtN8apULkvLEbevw75jk2bjPlSge5L+FnjzwFKBHSYy9FOiOi8LeHI0
Eca1Y8HvrWPTZhEL78Q5i95WYRGCo6hmZNUY+jas9IcOwwhJbg6rchbYUS/83k4epsjgmyvm5yRs
ipXNRoOxwIvStys4jFMwhip+zfDeoJHCAC34Bj0DCSwLzAr0AEoV/O62vo2lUazUlGhjHH3oNMPw
wWDgTeBN6PD7ZWxQPTS+50k+okk2sdvlY9kCGuHpGe+Fqo/bIYyID8Ork2QJDO2i2eMNsnluw6F2
xWksmFVO4BncwtjLWL2IqdhKVT100sXrpnienyjTYjcfz7NYvZFRd2aV8a02OSqRKHjV2pTsCVMa
K3tUzhP2xuigsjsotsz2itpZ5UAB+ps4zspNK0UUB0oVmv7QdGqgEG27N+mpGQebfqm6yhYrI5uL
EnZkKQoyr3r9QGbWVb3ASxxtzK8Sck2Cf2uRr7XILyVDN1CiN+1z+TkRn3822PteO0SCj+OiSHds
yhJKjj+qEeM3RENsEEnzoVFaVpzfqhHnN4iP1Aben1/1ZzViw+dZqgiKlC8RQP9gj/nXsZ7rQDkn
V3T5puyBvi9GwM2qbhq2M7jB+8YNcf3/Xq3+rUJ3+Q5/ljuutdDQVRc7qql79GhfBosfmjQaf7se
a0M7kYzityqhLAm7n9dh2H0oBi+/fseP/MTvX8lfH+cHDRRFQY0gx2Ifu6B/2nPpvP76ARYH/C9f
yaJC//BKIvZp0PF5JfrocIDfOaxTmFx4ClrLYc2iOhDDY93v+uSyA3qsJW80eFF0qVdXXYlMCaBq
c2ZbEfqVEiX8VZ/eyCJejWSO/PqZakyEf/lM+cX6+EyNRAk72S7vBXxmFotNfd/z0a808yS5P0LY
c8n07ihsrPm/rv37qfC3P/Nl7vyXJ6ABH1/iqEyqnB9q3NKNtG5QnekE9xuujea1+XmGVo6tS202
deAhFcNN67qHdqQA6OW1lkub7ouotEFV5qC1qIn1Gh0n+ZHqQTIFa7d58aAXxkGGKpNmXUm1u9Eo
YH1nXuqyYev8klyN1m73NTc/NsON1k2roZu28XwabHIyyN1ZRK+9DTR89C4LUoZA4YZYL0HkROIW
NdWRsFQS9+zVgLhfJ8kD0n/gzCxR0nqVWbfUGM3KZrMyow9NJo2Qiv7cUYs1yUdT8yBShrgktzey
PNM68woEXkrAwICW/66wcr82ZmNdebedaa+g+RFQzhrGSiITF0ZDYKTLlqjK8scOj0RRwFjxLFJC
ssj8Svf/25/Qoqz48BNaJIPfffB/DDKRiSfSbhTzSd0au3A/n3f3xhaz6En42nm3a4J2TbZoMG2M
4NAeAN+txkdlTxG/Vbf0J5v0+Ovf2eXD86tjYumaPny4zJyat1h+ZSFKQ+At5apFq7Zp1K/N89++
8J/9Zn48jn448NykmPM45nEUCHu342sTBWiQER4wG/n1K9K+f4u/nkgfPwQ/jqd4/a0BWP0UGwHp
USNCI4SRvhSMOILohA751w/4sxMQEhYzMcCgSMN/OAELRCOOkxv6SaLBKueXQbn89QP87AD8+AA/
vHesWpgMRbp+EsNqEZlIJRBj9h9exX96kB9OWW/0bNJZeRBvOJubQ2ff6vbTr1/Hz66kj6/jh+Nx
4q5u28LSTwRuo65DCGJfe+nF0kx8eaD/9oz5mHxuK1G9d/9r+c6fq3pqqcy7//P9H8XXP0dv1eJp
+O4P67LDlH/Vv7XT9Zvoc7706wdi+Zf/r3/5uwL6dqpxSTy/Fkm5SkTXJp87ndnKl0fYv/7v//l7
iAZlzK9HNcfn7u1npRFf+MegBlk16UygY5bMC9P+WBrpv6HTYq4Li5DN58f5MpHaLDyhvi23y0Iw
/DiooZ7itrH+S6WRpxPPbekg4RwwLt+fSKKXfVPYkzyp1WUbmespdVYf3pTLv5YsPNMfzjzm48yB
CA9HV06y+/ePgEojM3qn70/CTEGaf1JUMpuuhLnTQmDMF0Jb//rx8Jn8h0dcntGHU3bBDSRMkXu8
nhBa3Qmdsk8+jl6w56nElWwr9zB0SEHtjEQ8YW/sFNlUE45EJ3ZFB/09Ku2nkUpvT2Ir3Qa6kpUm
KsM33PjcqlCOuXoW1K36OijZuzcqD0tqfaXpJitC1oZp1E4Qq5DOGHrMdgh2uF9ESQRjw96KKU82
luUYm4h4kG04jSXQqQSOQovko0SCwyI0uVGkG9R9cu0y/AKJWflOMpwrTchPKQVNELrM6WW3Mic0
4ra8CtF3w8M3dlWlXQ4xlYOLrlpdQrrT6IzQLb83lLsWTY8/lE/DbFyOTrwbEMWutU5skw4pVO0e
4sQayV+sJN76ViCpn44V4Mgbp2MBwMyfifdNhTxmZ1PfpBAVdg2Ymu5q/lLw9EU7Vqece7wjSAU4
7czEXoBnJ+2keclU99y20cGYRFM5yX7MJNjbEHBGdjHN9j3rTdRMTJMx0hubVk8+gwN9zVF0kfJo
HsfaPIS6sRqy+rwj8gpY0H4ykkt1boIyhDA/Tudssc97l4THbi7UILLkmRjU+wY1v2lWi4ZtvrNy
ahGylbOLpC8vy6xDySwvsjk7qKCe/bG2WcR16OYgsyFuhjqIJitfi9S5g73Rwo5Vo41e1P2+72WH
YEVHBJk003k+VdZGuPpZXjD9kCczdq9FD7JBi/EYxHG70cAVhHly2ZfKjRzKTUx8kl8tmpbEA1bQ
vTox+BjNTq/0SK69vuj9eNRAoSxV1HTV9RUjeOp+W5pb2Q4bFYpoB4y+0FSiraubuTQvi7Ah435E
uNPl2XA9TvE15qh9SzKoW7sPoEOhq1kt+AWF+zpp30tj4LfJQ42DeXymQsQUDLhheFPJKCsBlTQm
HDJOMOA2gKAMIyHiRkK1iy4B9h5NK0WLXGxH1VoTZx/0Y3gmRAXVH9zM3C3ckQv8HCtdKnvVsK8m
N2KMlDAQM8xww9r+k0kmsc4nBIUfRN7SyqddJnEBtDlLbeYlvjEph0zMt2w7EEjkHUOm6iYlzJ7J
Jr/WbPPBwOjPXp8+p457rIhk8+ETZIEU7YSyTrIADwd39+WY+W/fetu3anHkie9vuf+fLz2Ti/CX
lx5WQ6CG81+vy+Ur/7j1tN8sllUWPT+2ezKaPgwESD/UADex1fxGg/9zIMCxtBi4f6f2cld8GwjY
v1FrWugQNfR5uPj/0VaVEue7O4LvhEcRxI5tY39kGfGjmcgLlcqOXBdICvNaXINwVFod7Uc+lvcJ
Prs1+U6aL3TkGHnmwBG0un1jaSDVVa6RopAHSBYGQmc47p3a76IqWpPCaSFq4Z6oyj7dLPq41Elf
ZNiOrCxZFgwlUop8YcQ4Cy1GqSfvMm6KO2uhyTTSmEgkhIyTMfeOuipQk3tgKLcFRczJ0UIlqEZN
kvkL/UMlPuhQ5PF9aKJpzTzvys260Wca9qYpbb+JdEXeAs7cUZWcpfU4bdSxXCtivG401E1Vne8J
b7oYMIqQwrS1VJGSIooTxFni8BgGtlN1FBbI4KgzthnAgSCMxOeJsTWXaDSsnXlqAyMJt1HS3CCc
2EAxBdkCZ0K0bbIfcudJWwIN5SgvhoWg4c4Q24BtcEKgWIYDuxqzPia1fJEUzddhpE07S9F4a/pk
OMsT4KiFFV3gajh4bobuOmeH3CmvaZozcWxIK4mqZCtnSdh56JCGM2QmRy3s5X42Nn3O6jgC/G6Q
yEeEJFOJzrhmzI5q51V3q3eHb9eDYOZbgS2LNfEcg6lFG+QkkM+6VUpgrU8mj8YkXPdZbdPx5ibQ
sklAKvWuafmry6bQjs2Yjmu10WpQT5VYUbbpW8yTt+YM1C0bvJWrWHdYq71DM6TsWBil2014gcpy
YBWVbQDanImqu5Qht1aOAlKWm4plLbHpyb1nCnNbUokEoWCI4uXNZk6c49RMDwzmN2Y5PJlygmpj
DNeDULg8ZvnGI49IffO3wWm0E6IuGnVtukxHF4lVFh89tt7ng9G+QPdz/K7VdMbSFDyxUjjrxmGT
vZ5K0azVeWMtBRLz2/oiGhTnUC/l0/ilknK+VFVGzaCB2LRX7hZ5GCwDrIqzaetxt2yOJ8tA5BW2
j54JAcycSuqfmodg9M+KYdfKiVQii7fYBY+qFPF8Z9SV5ps6Czijdm7cxj7rtOktj5tsRQLKdR7G
0Zk9D+u5GC50iHiaB4Iks0H2lyJ+TefaY5fjvNIhRtRqIKKsAVJCpYmrrql4i9tjSBWycvDrHiqn
RQ/GcqrJiCLDpcpvuNv72jjxFSP2NFSk0ybVwve8Di9zEEMrs+hUdhE9fp6eZjqc87NGB/s7q3az
i/oZNPCAnq48yFRn8x/qjynyZtKau+48NhX1aDCvelPVMLutVGIe88Elj0jLY4Ss/95OXybWJiOT
X9xO8bPonn9yM/FVH24myCMIvtB3qmBU6Js/jKrVxeuCyBSih7vgtn+/mb4w401Q8sv1RGO2tGq/
30y4cXSUQ/ZidP3dRf+tMf29O6Kn/dvJjfXXmRUkCZ4EN6TFop7QxR+6l+XB67zJsaI6KSBeFkaa
KT+B/sCW1yinOqZDEAQgZTko3HbCCzYh+QYXK1hWum9Vv2QjebeUeqCONOZtaM5JtAYFyTpw5+b9
xu7CNerznZT8LxZRZhzFCqLNo7DgISeUWQZhUmJsnmMnPU5d/+ak8VqyiyWXHO+NVnPsmZ/RTW2j
yYMHKqosUJKi36V1u2s970wQ1VaxdJyBWaHFi4FJDHCfqjuHlk/qcQ+t0UwYWerPOeNyXVUfWHJb
GycM+6BGhLpttTwi65R0ONMWBxb3w8YN67NOJxbOSNdZnN6EA+vQ0TDkeqiBXpPX4Au33ki7UKEP
YjIyHNQCsyv5YJZa6XO+nTwjf8VhUm8nndlOEmGxVabwts0rPuYky6qlJJ9VpMfMhAmWRHqGQaPO
g7h2mJCO1YTA1V3jHznEVkf4n8zvYHwqhwIkFHQlItzZFZaud0DexCbU6o5eqd82cb/Vu/GKPk9Z
90smGzFIrLJcvB5LRqBeXpH3Ufim6z2mqXY9iZpzKawIpsiNAqipcTsXyWMGwU7mnOeJS6tiJMAg
YROmjfq+UEd36TyaKz3ppzWGIlRSoQEFNr6PU55/hB0SdQUyJhuqVG+T0laXhrkuBEKLNEMhkK9k
hG00EeRudJpN9cHjqAyuJ8DuVDTk2EzF9djiuq3cmmbBADIVYXlpyg443+SRAIvSPshxJ600YNrb
oupPVeXeW1rIz13gpNTGhvCO+lHrk3Mync/bBFKYEmmkx9hcjKaOicQTsGER5BLT0dXb0KguSpBp
DWIsShaWfJFILtS0eiSMJ9k0OYkrYD6Jmy/pi3iicqBy0PJh12jqpa6LoLZkscu08KyN+r0o67te
GbaVKI9xVW1Me4SDWiQIpMXgweiT6OjyWF256vBA0tqbGNCbpONWJvWEtaYBMm9X8J14VZNzWdGC
B5k33LhZvumgLc4X3XAMlWQzqd4+GsuTZpWX+hDuiKM7Kb2NDGNh9C6lYw8viI5uXulzCx+U+oZf
0CQMoLqH6Jlt3nK+aVlYdYBwviAYj2asUIf3OBuz1VgYzuLf5qOaiZeRPausXOQYY7+vlCYNwt7z
tlpp7WMNOtoMrbLFugT2Hjr9uCWEkHJ1NMIAS5PceIpLw03mSTTG3aEKs5QVuvnaw7XZ9HH2WhnD
AwLBz7Mj0zXIahBHhryc+pQZQGKzoO7sbs1xNBgBMXhA0+CYdWecPYtdDvR8MjZoFsqi21slTeTG
6GvbusMe7LrbGD071EDEC5FsSvwrztjOiIgxra/dUjHRdg+64e4QL03wTQ300BdKWUz9jacCcr2R
XqsYZ/3YV2fSKvP4AaeePpyyrt5VEcVfndK9V2ZmbpIE6l2DO0dro2sRGni5s/FgmmW/aZUW0Yhi
n1mEyawsMnDx8tifm6oSDANsHMyp+ZApOP9icm58TZ3tg1Hxy5yVLqslE5PcZFVPdWg+x2mrrzqX
DYkxN+9oNwZStSuGCCUJUaqKW6zt0CZP2XicarEaEy/dZLVyNMv2Sgn7s8KtnoZEvs/053JksS40
JJtRTUqUMMYDOYKWKjHrOvVzAujQTkLpdzrmHYO9LFWuvFH19CIUUAbT6TGP9fdZU/kukfWeDQWb
+2SlzAd9GtOVaZHtGbXXGeZFX41VxFZQKM/y2DmqWQ5hZayeZTTvY8MghlIZ4ZgnMxEhenFhO9m8
QupMJ6IoVzo35kpCC2YI0x9ndWJiNYYB70K9c0pgcoLozy0BRJztSPodL3HgF6LVItDutstWsxXd
6y3BPq6Zhoix6KnczJM8ODIHL/N2xuyhO8GUsTIQXgXSZcxUjLVco8g/r138AESlIvLQnFMiy2Of
O1gacKB7wKpFIajNumfbk9Mat97NROdDBUl3FnpcIFba34U9zsNelvdVXh1SJeM59vND33jxhk+d
ye8AGm3UuUrQVt2b8Lw7DuiNWrPvK+LO1yNjZ6TVXTMAA0icMcA3vqefuxyQC3lW9ZJw0ZG2ql6Y
KmmlFp+7oTRDdG9aG1hqCyV54EroZOTrFlKQOMv2njUtEbhlkLp6sxVWIoPEFKcs6S+pRDal3n0a
ChQyWUNp3ev8AvbmuM7UYoB06jYrLwPEiDMvDhxalZWdDYSXK9rWZiK573hDAxHnJ7UWqe863aEn
LAHStXdwxHiXQ3QlMpdLkCNroyRztFWkBufSswMiYdBR8Uk7izQdHweee0Ug1OtKlVA0HVPZgIeL
ZNMmhKhs7E0zuYz7lLFvRcJiyUyNQ44DzpK7udD5SFjupd4OM7oopCx2NX5mPXoPHg67gfN5No3P
o61uaoHxNIuIN6/tVQdAIyzqB7Vyd4bZ3kiGbkaqkPw6ZeQ6xGd6K5+jIt/2jv7mZfMBosXVrAGY
8jr1pjSXQ1yx0I7B5v637P5adjNj/0XZnby17c/Kbr7qj7IbpztiDsRtrvW78vSPshtXmMWygwoT
FhVswz/KbsP7DX2967gI4Bn6Wh7f8NtAyPsNZQirC4dRuU5AvPdPZPY/sX7hdEdniZPMVMHQfSnL
PywNZiMuYr1K1JPhqogHihkKq/ZURa8wnmYLPUFrl+cwgBfOlKefy5r/3urOydbKU9/UgOij67wn
G1bMpDIrkBSy+KFsrS3kqmujdI818XO+cB4120QCP4JYcrKzznJAoQqGpXrU39VjeYtmgOQlT82D
BnzvCgjoI6Qlzlr9zMJmWWjN8wydXUvnB91UCBIfO0rRck3srBNkc7ITLHT8tJwftMjZyTiDG511
y7T/MS3Ku9mtzr20eYD2U2A40d8VTr2m7T9lWkEqbm9tSKLbzM58mXjUmLyybe2B8qW0WrlJZ8P+
58ZzQrnv0DlSB7skzJpbp1E2rRhc6lr3UyNpTGpA1fu5zzQfVPZZquZ4hKSygxDOmCZpQ7T3hFWb
417XBl/W9rWs+2vwIO1dbk3Pec1UxsZjE8XqvVpYZ4RQFUGtjkcgvhbyR0dZW2m56wasP2Pfn5mm
2NsepuMmtA6T9kpO9lMU9neTaxHzZmL+pA94ylSBgL4xjhBN3wyHEYxnaXdffA5S/b/snddyG0mW
hl+lY+9LUd5c7EYsPL2nSN1UQCRV3vt6+v2SppsGUo8G7AhsxHAuZkaUCkAi8+Qxv9FbYL/uoq48
D0B+a9JkG1ZhNSxtu5vn+IA0FWvmebE+6wYvRIsFsfm2PMbHS/HnrhVmy9pgfnJQZ8GA8Ugu13uZ
jUNDbTnoxKo1NsdFJpfkbY/c/eqRxx+3RbcX1oZaE6MF079/ZP0n6IjM6Dj5M8+no5/rzlHSFDRl
EA1IhXqAJHQENB2OOMa2/K8O32fEBkyhOuBExQ/R+yR1D2eDUCawhEaBZ0Tn1pgPB5g6HUu+ak9r
jBAQfSDXlPybuNdvU6F50PbtBQ0aNAWEHoJeGPchAgmkDA9jTUe9RTrBM5FDQK7wSBaqClGlHpRC
ZyEUigu60Z72jxoMTrTS/fLWjox6oUl6jLajfTvUajTJdfzY4d/eMzCh6Y/6LDuHuiEVmg+yUH+I
PenYu41bfGe8fbRn73WUIgwUI1SMvGmTHphpugyz/Ay/Q4yP0ZjIdbglJqoTGJfDn2Ze5cnmVzfn
IjD4E1vpvnpjcRagXDHoUnXYVbepYYB/HqTsAOrMGMx4VD+RcfiUmGrRtyEll/xqGpd9O2k6vnGs
2c+hPHp7ke8fjLgeAcLc73FBQiqvnMbgQuUFQPby7j/3yuO9YvzyXrlmIN9suljEP3u5WBQbuzMR
sSH8gDx8LaGCcSCDKebkBuSup9H7y6RB/4JcGcpWCKkIYbPXRAgNHxhdxdNFE2N28at3/Ztf9nPe
zxmEGgt9f643hIexnHzbzelliDllmTbHI7kJcVYEe8r35Knf99O2kcoCvJqyM88AR0nXCjQa8m0a
L/n2dXAtweqMwfdxNU/WFLHKBUPbCU2EKZ6nKxIyAsk8WVrzcp5OjH19oc3VlTv9O1wLSISPb4Qp
DZ6IiCyrKri4t29EYbxRmKGeH8uN4VyhK4ZAQ4KeyLhiGGQwM6jTRt/DMHy8CFX4z4qpwFGwLe82
z0KQcjSUDhQroT1hlUZ/6g/auTZkLRns4KFR0UZhpX1r+8K06ecWbUuHNtNnrY5mghlJMbCgGEhB
kOeZOs+6GLMIW/JgqiHzld4AgYYRao+lPKvSOyPWu2NLz+MTvSGXnyp5FA+LzO01GLoNVlQVPiRW
0GXaidwqRnTYxuFJWUfdBK3Ufuo7p5oiPxhVfp8W3sKt5EsLB/IUaxdDMrOlSqeDGQ9CI9wqTkK9
ney5A4B+LcLjtSqVWTwUP3wUJJieHytq/qPR2gto28Ds9DK8tSLmCY4XNUeSlZdg9w1zPw4cEgks
d8dRBf4kSdoPPaxorLsgs9O6yOdJC2kviCUDfQSB83OOq7QC4a/a7QzZK3VZp9bVoEg3MY41syz0
GfbUtady1wNWYHu6yVwlBZojFssjahwdIrO8KvUa5UnTTv3zilnAvLGUkpxD7m/0OBhYRTUju4nA
r+tSSaeEkU5h1gAKJHgtr3LLDYCSRxb+KxSdzlG3hC20aQjcLfLLb7eY0TPNhj+QHbuqt49YSz+N
vMKd5J1OHWhFzrxoXQEgMEsSOVs+8qwSA03WBnMVmmnWcOy4kH4xMvuG8L+zqFQE3+s6X7j2+M0y
XACLLveqO/Zfi5j2hVoWUHerUJv1nUsd51PcG7jg0lddQiSYhi5of8RByROd1ahR/KjqUgcxOoGX
Kahz6AAl6SqkO5dRr+Cyls+7zjtUmcbQQWAUBj8bIGRYzTg8x13vaMvCCzGT07wrDwNFKqOjprfR
JLPzpRzxBVtOQWtGDi9+vbTCmvVVGHmcvOKnTesZW20EV9/rWUt9a5UtsqPHhafdGi5lf+Nls7Gy
VnrSMFp3aUWYZT6xyEmMGEaIoacDaveICzDnOswC+0YOMBdlGPUDoZ8FONIjNTPPZHe8M7ziW4IT
FMSGIj/49Rt/G3U+vu93UccZ1c7JE7c8lluwskQOLJ9LOaUp7c+NjJRTLzwKGEqc/wAAdBb3F7Ve
xsRwU63Hv3q5kpEL1RArAn1rG5z8d2wAg7yQjuXLsORlxKKhJGpAzHN0S0GUmHvsr1rPRnKYS02A
+LmQkY7+nSuZzuDbXS6ihiOmPAD2bZRLH0/Bq1oPg5w4j/DNOlE1A6MncSEAbDGbuzLE4FzHnlIW
+njgyzncinPt1hgwuEJFD9zW9zqJLyyhr6fK6qypaxT3kN5rJHmvQoovEpp8pVDnC4p25grJvkhT
vuFSjaO4ipxfUhR7RQuRZwxOtFrawxDkCAbLRBFCgKBZCox76TZZlb1KUQscO2lmIf1Vd2Y2zdAT
hPHlTuOgO1e1GlYgkoNGlEJWlBS0uqVLScgSukKgEEWSheeaB3F4Q4j+1gktw9AIzyuhboiaKiKA
xkEio3uIp9VyEEqIcq6f+EIbEfPrgxGEXJs2B3bl3udOdxAAUVWFqqIu9BW91D3qhOIiUIPbDglG
MnllDWxACIbYhIzyOkCu0WNyRHmnFVOU6696JB0boe2YIWURRfbRIFQfFT6DiwxkMObrSuhCtm4U
zDuhFekL1cgU+UhX6EiWdnI10NYDtfgtEUqTEZKTvV0s60cNSswfJy2ylDbylJSBJ5GKXqWBcGUj
FCyH0bkOTWfRIG2J8MlSFlqXFaKXqVC/bJHBxLGTogBdzA6BzMA3UMoUmpmFE10XQkUziuobA1lN
xFu4M4XQJoKbqqJ5h34EUsGnWEsR5WTSUU8VZDorlxqkQrhTRcBTFkqedNqc/c5s8jlE9HscNS88
d1iipdbPkyzZHzL1Eaf30Ou5qC4AJtZf+bNVmnFL661tM1QLqokf1qfMqOJDp08uzcNMiVDFxhPH
pHcyQzrNp31Z/aBVsAqtEv8tmoDk2R5mHNGR0hTzPGto+EZtO2ml6kJpyyVa07f6oCwdD444MqUM
8HBNqzNSqzRNIHH4wwLy4EKvx3g6QmMffIieOpo89BxKUhK87sLErefMGJaqlx1Ehr6IHeBsEXIY
etTth34dTv1yOC4d1l53D2ogNVxogTXccceUX/20FqR6B2dNExmwczVHIs2b2GUinck0T86Rk6KU
U/oATq28iCQfFT/V/RF5eAaReiMxx7xTLqx9K+2vK7P8XkdYzOZZdmZ5zlLyozMF2IuNUdOUae4s
72H3a1aLwoxcLmyjPla0WOfD5fPCAhag9SHOfL0+9129Q77DGqchLoPTPEhmNURezRzWvanOsBH9
Zrv2XHaGK75oLsJQ2hsC6TAt/KUfSXupk5GaIjcbYmsmuaswGbAJQiGuB8M56OO+ho+QUpQz3xg8
LI77RZvY4BeC8NAKiogphTpxemvZMRNK8oQv5LoWto19IxydSC0adHHR6otSazYk1cwPnJskFOlD
6R+2aEfMGGQ5iz4x4QxG6cop5GPywrsKGKGMC9rQW1CIdUewMI8Qr9lDEBxehooWnNp1fLe4FksQ
fqryrinbE3AksyrUL+XAYwwxlIdjZJlIC6VzPUIJVmZiWyCjR9ooXxiN+1CYwuO0TfZq5A0g+LYr
GlP9VCrAhmrJqSuPsLvJf8IASJQdIBWoN0edlR702CRNkgidSc++xbZoAtZReEkz85aXjtWcMnr6
Kqv5nqv3CzQurHkUxsS/PpUmuZmda41TT4OxxMuOho4XrgQxMg/aY9ccLxntTAq1PnPVZr8s2olZ
0IPr6dOQWC9Ms5xruA4y/mlnFcp2RGFt4Rj1gZyOCzulU+QA3Chy+XvsVirzl+abBh952tH53FMs
71QRpFjPO1NG+9Cxh3Y64gq2MMduXzYjZGDAw0S5RztPCgRx2mhQBexPtVhaUIKcqo79A605hn85
NOB6XpW2xPgKTYxOqk+GOj+tLfuqDxp/mhgwnfvEcOZ9qMY3EWKdMy9vf4RVc4Bx1HXcpHSXskPf
ARLalMF5M6rMiMsfhocDcaPkx37fL4pwvIoUdUQFPromAs+r1DgrJReNZtm5lczya1/0B/C4wBE0
iQU6h96RQqMdQqrfGyceWFG9rgnj+rDnFqBymD7jdbRCnC66RmivA8DDDH4hjXU3tXt7HsvBHhN4
BJe7ZJz1mX+vQ++fDW3Wi9Jo7YzjiVImGsWT5c08VVkwFgyhQRc/rLqNUOqIjhAfIlyCn56BJ/ua
hepplqjn4B4QVsp0TEuqO+ryGdDlfWywTiqzZ0BB/Cot3AJSI73qB+k677PLOKAl1aXaLI+hmtug
4dsI0z19tMHU5tosbsLmrGRgjfOaFa504ZBnum2CxJCCPtjf5LLqW+YGtTwUStgAqmng9woq/10y
i5iJog8IcJwoF8nkxli0p8V0nCRTZ315Xh1h2jTPqOqDQ2PZzfxVtvD3DbjlR/7yPwnu0zCDBf9V
ghuv0w2cDp1/9WeCC7oVR140e2lyPMlo/DnMUL/QMLU1hDc0jSqV3POl52R/EX9ViPgAOEW6g17Q
yzCDBBdMrBiQ6Cr9G/ijv9FzUmzRVfqrQhY7iALZRsmOpBkZ8feEV91OwpKh4HBi1155aoUANwIl
t26yWFf3hy6KbgelthY29MUj8IPuBBUaH8RhO15bTldf+HIWL8cRm1N66u7ckmraRkHhz23ujlgo
VbdC4coQWldaX/PvW/pvM3i13IMZ8D8JBEyvjsWkqv16hQdaBNFdpmGbIoItDyP6QWjnfUt839uH
T4DbrFSHM7B0AxAeOwcdNFw7KsagsbYe3MTab4SCV51J3UEaoepVZl0/7YXSVx/LJxBMMlAgEWHB
LBBIRRhMM1WhUqrVKKaHoxgQhyE2dEqnQ1NNZsU4ekK84tbvPRf1inYaRPl+iAY91nZptKeOTjet
GRmdeop3I0fDftBo5ULP0zMjK9Awk2tpWZveuD96jbbv+9w+sRYfKFJR7UGmcGay7+vLKE71eauq
7spUGI4AQIj2iySHqZG1Z2NJmMxjbkdU4rEHNwxcA1EiUD3nONRAJ7UDqyM1kn8ekEGjHa7AL0bJ
dzZYXb5X+NU+IiLfmC+hohYjxQC2OpwriPv7XjHWFAF8Ycxty1ksXABc7ABCXYK4iT9Aj1FA8ugY
ILwD8EcKj3rsBBAfQXdA9jKwt+AkOxBk0EcuTM06SyxPm0R9v1SxJ1Bp9Ds4pOJZAGr6BGH80wwz
A9mrLPA/wV6OzUEv/A6w5pu7wgHBFF4IkPg9FOpBtFhpclBhmGAI54TK7C5agNTArYnskfBXQJH+
hKxtlWK80GLAEPb0vTBk8IUzwyg8GkzXPGW8sRgxb0jGoJ6Y2Dk4+ELThcHgATxJjuEDg0V8LbGA
YC7CbzCFSNTyu9bhEuFgF4HR/DLDPoIUX4gn5DBnhbdE/SiCXkQAeqeqqAt1USHSZqZYdLP+0OnS
nFOBGO+hQi3QcAmBG8gdHLVpi/WHHv6Ne/8Jxk8TAPCNPw/Gl028Lh8IvO+YeQb/6iUYo9Lm2DiI
aaLtDRWKiPsSjB8HAJpsg3ekrYXD2F/B2PxCN4EIKYtuwBPW8yUYC+924jTkO0vXGMf+1gCApsK7
YMwLYw8m8x4UmpVoHfD7V90Gzy3kgn3MCCDOMKELmm8oDNH4i1Dfktt4NpSxgMgF0yFzj4ISY2tD
6ZAWTtvTpMr2LLgKaAlgvSrcSyopOABOcYQJejehGLyQ5ei+BVaEakaLkIwE28XtVKypmQK7sulN
k0qQHOSv3Uj5Xuk3ToHWtu07On5rJMSONC6w2ZTwO/GZJaJggm4wpG8MQQ07/ZYP2VXrB0Dg6wo3
D9O8LjHsSWFJ1I70FZ+PA9+0TmAFHbWRf8jk81uVMd0IHOsUrNZdTM4/T/hgoOcDc8mocr9Rsttk
kAeU0DQgqTiNTIu4WyEdfTWoeTnHg2mh61CH1FDr8J0IsL+V7HscgY0ZZiGHVR1f4mEbTW3PmBuR
fZ4Fzn1ROaeMXiHEA4bF0CWs527XHdt5S/BO79w6u3ULKL1ZekePiT5LVHrzJu2sVWUlp16OsCay
9fhSf4tVdHDy2M5nnUlZ3eXZXac4IGEQokwGeGG5qo2zQU/wCSnacopI1yFus/uF7h6mHsEmyMvF
AIFOLrt9z3FWnmqcD2OLvHf4APn7Ugs8UI3jTeKNSLdYvEm+JEcumWp31NyqjHQ0TrMmUvnVke/0
P2Ls+GYuETWTXXnalLR2EG75qnvGuV7jgG4H0aXuqT8a1WwpPMU/N5pmoWvNTULdVmVk7dBMF02N
sYvb1OGSweYtPMVooeYNOHoDx1A4LlPwBsZE5orA3GYhWzkTWlteFrVPGRDllA853xoStN2UrAMd
HQCiBR4hZlDBFKzyg8BNiv0xifA6DdF3ovNybsUkqamxaAodn/fRBS0QBcLEpCfPHquQ1JodZ1iQ
rO2RTTxUfIeJmnv4TI8XmVfyqqlNG6tduHJzMdraftCB2bVUdLOrwqU0iCF3tE10R01+Y2PjNbHM
/LusZChsZ+607Pp+0skBhMUSAo3kr+RUCmeSBRFOlrOlSS2pyJDjUXPHd8Tv8Nxt7YckLA4BmbUT
8FH5vHTqPdPDHlht4O54SX+VFZjcqMwX2I3JxNTq71WD7Y9cKpTCYz6eJrQGDvQ0Smc9SaG3F6uO
r82iqPuKs3LZzkup8oNrlsGtT9RaWCibgaEtTDeR00sL8nM20+t81CaISlT+FC1F61TCcoRLrwj8
U63ovduAPlIVs4Umuq+7xzmuumFtNsJ8HFiVt/Itx7vwC1lC/dfoz+RYwl+hCBB3tbhTJ1g8UnnZ
ZlXsoankwr0M+poelazFeOoM2lTp4jOMQPtiKYeaehN1eI4exWkuBKtiHwKPad3JXtOE08gcSlAG
cFgchLUi3SgwGFct71Kurbi6VTEqBtenjapPdpGY7rfICHz9SFZp7kxip2/y/wCxnijpBhObX12X
GaYj6aYLk3/354XpfBEECCoUVQymBZfh5cJEVRDaAXWNpQrhwNcXpo1VII17puYIzmuQ1v+qXvAK
5A/ESE7BnOs3oVhM8d5cmND8hJgO4ycFGzIkvUUJ9frCVFqDbQHH7mQ0/H2qMDqfuDr0nKUxDbNF
a4DIxH/kiMlttMAhZSU3yjLI6xO/oduGxytyV9ABpGmjKftdla+jRr91K3LZtD7qR+XQc/TV6APn
iKRsmPrMniFln4FbjOZmkmBJZJpTHWOMiRuzM0fOwUEy4F4cR1wSdlKDE9X8g6bJ7MOUFpbti/5r
5siTkU42nmTfTeCFmquc+uBU89Kgy+GEN53SClC3eWIbqKWpDfCqCIW5E8D49xjuwvUAfY26mmVO
gzZS9gCAHta1tae5yaUG+IZW4VGlO6LldNnRKIES5y0zs0FthziRteaJkVn7cR2TKfjGlSZJM0RX
v3W+uahaAmlJcTLpHPsUaAwkZWQGu+g47MJFLikuRCyYdKEVw0cqpa9OwpAvG/OZbISHfon9isAN
aU7E3Y9hFW25UVn4ppMspND51nOHGm1zqMOAOM6LM0BKi4QW/mAhU23Qctf68wGYF7YIkEXo7miK
j92YdNPq7leIGguzachE2o66LU6+BwNQOEmm4gE/BiErPB6wU4Sn1ZzJvUt/KDKT60Lfg4uHHE5t
U65ohdUeezKqj/TuKV7Mbjo07YUPYo7/jXg6TchZXaTXDW/DpfqbRoHUT9DMXhqBzNrYyjQDt1y0
fA9hKBHhZDueZQNDVxTqzgMbeHnn3iPrw2DHNC/1zDyXgDROERI/dBISnMawfGgigEuD0j+XmFkY
Ya0jF8CMpC/CS/SQ7pirz1I3OYM2eh+m5bXnkIGZqtFBP4jMVe4qHaArbkmqDG8Ke2Wh6YKjaDHx
yYIIPnQzG1FSMsaIHnq7ilQsFNKmB9gMj8M2jHymmwxnuLxvMtxYHDreh+jAYGQR4z8P/QOwVa9A
vq7gpEqwkCZjP9CexrPuCEbnVTFG59jn2VNdDhlUBwyVcCC3IfCnzSQuswMZvvoh7A5az9VNYFqH
yD6cY+YWTK3AwfRYGcdlkob01/CeWThDys7U1G95WlzYLV+80XlY2I2gQ9x7t5WUmdYaSELa503n
rjoNELLiunsWGd/EYNNP4GMt+pHWKg5sOqVxVNExJAsLC/QXpXFYe9qIL0gleZje869rqdwHFDiT
I3OOBF0OFSQJTigOlmAfkvkQnUvg92npg60e11I0rOvWvPT69jKKkT7v7VMURqGOe/ABMRJCozOQ
rgcbHZ06tub+WC/8oTX3acaSCYp8iXGWBxBjWPO9Dvt6ZcyznDoSrWZtpkr6g9pXR7EsHfVync4R
aUzntD/WGUDNIa+NKT7bA18XyDWA1dZkKLOGHLa7SKwuQzGwVpaAHMgKcUaYdm2czrqGHcif/1Bj
UqXBiN0JhjrWxI6l86KRH6qELaGbSQDB0brKy+K4itGwAPL0kOcU1VK3qMLehHMU63MSYLrdSrjw
5bE8dBWq9lTn22bFDzBOSpkpsJuaOr3V0aBfZBIx2AtsB1HHUkc91Vu5MGhWmTKsCxMxC4fQqEfQ
clApnNIAORpr/6SCwkSKJ7wLA+0C24QOzjHk2Upe0qW6zEdiZaZcKF6hTrMRJrScWWuPNkZu+vsq
H27WBUAUDbm5ksxRmQKHFSZH8DBKg00dVe5ta463ZV2c+5XurbxYWkHcbYQcKh5RdXOR20qCzQnf
ryZlM1sr8eODpin8c76HJXBAonzmOycEuiWI+WSi6tUlSpLXkVp/LQtENOOo+ao7o7xS1E6ZybIK
+q8KmR3ZvjHFlFZIixRImiraXlmFF6mpLcccYVk3Um67qJeZH4WIwjkhjoWMc7TcJLFTr1vzrKv2
R/emCw50XztLSd4Bbl6HUnIVaAlfTVovzTQ7VnNaEXmsVCs5NB8UAv1c6Z3TNjA52jpDJQnXIjLf
MZjHVgBGWQdr4nSHVR6ft466spD2pvTEumVQLtBCPfCzYYT+1ny1ajgmclHvF/Ux/q2T2kAzxGOE
gbJIMIszJ1iqRYkCRBl8VYZxGcdleIivnbLAA+HIGSxp0Q5NtNDqPpyMiqYhUYFBkwGMqMu9fcOx
0U8ysQmbKJnnFNAUNAwM++wBkSr/qEtrXIBQ5jCsr2EGJw7jAhjYdTEOx4ovB1O/4nu2kAdBXbMm
qYSxRPzad+uR9jhc+xN5lMaVW9X6XouaMPM3215DJxqWY9+rxGNb+ESZIc6W3iIxlCM1N/aIRvsm
BXeES/2kxNFxJpW6dh1YORGiLbyJXkkrv9CPQRV7q9SXH7RBfsDd4ztXDvxHZP8HWZoltjVT6axp
Ne+RblY2i/r4rg8iEHaeD/4Lf9/aZYaZeuaN3ycttrh1OO9oyxXIyQDcHZlbSWIsbGJJOIvz73DI
FN09h7uxkqROReqC4jqHSxM0iTKFlHPF8nOLK/FD3of7repZYGz6s7Iyl6FdgZDVrHRBuU8phf0m
s00ma0rR3aQ1voZ9fGHow8yMjavEKagkQtpmY7TX6eaiDGLoKkoCV6dHUi6/RMnmjuB6WtPtmmKj
EU4DszhHXWBBgMNkR6fv5SgV7DwVZ4yRIbVJmxUDkhPLASUcuT7SrE40zMse2DhxP8anecTIygSi
2CPQmps4bwSZuh4xl5jEXbe0AiDS4L2OSXJvyjI/7K3YmmaJNFfwujA6+5arZdF26jkjuwNO7srC
KBblBP8qH2lPhEF81ClctZFyGLj1gRtnX41cuencSHhHWV8rtT/KqH6Qb3awy0JNEek575p2BJaI
Urw3BvulXh71nrfIOzWaNYF95hs5d7RkXjV5ezT2OJOkwfdYN/aLCDfnShsOYd02KzrW9TztzaNE
saEiJgRCiUG3EaCgYuirKIMzII8HTalpCNPQTjSRvAm7JDnVGIHOvNqWJlIHdww7MCToRTUJng38
QpIO07yydBi+5aoCZzcr5fC71ZHD2H1zauWVtnRKbPU8p6oOkwLpoULrQH1YmLNBrI9iV1o6SReS
c7o1h8uI7VG/NGtp3wysZGn62Z5DtkV7Ntdwbhqxegme4Kn/D7BSz29xo0TYnzhe8dvTDJexy2z+
XmTsX/pLL8OaPx/0qFL2S62xeI2aWXOPCplmftHQY4fjjNW6+KHewS7Ne/41AEnnCxNf20ZN5XXT
+M8X2/CuP7yh3/47P3/zr7uxTHiYPb0pSB8X8m8+Px/wr49vfVENHRcz5ecfn2IV/DRk5sefXVgE
0X9+15NW3mPZ/5WV4DmvloKdwPgPchLL+vxR3+8Ek98pqvKE0Xu1u3+2f//JnfBhEVDu+Xe2w9tF
EKYrOuILwE8ff/iobxYBdKHKGlmgAMXO27U1oH1BQ+O3j8TbNWAezKgAyhuOv+KHwcX7NWBUDLpS
4Tf/4CL8zTl++6Z1hDDAZDHb3vymH+MYkHgM0f7RN/0m1v08jvHm3x9h0dTa8pszvwAKeOSOPAVz
Qvbbb06hwwY7igH0ji6CuH+2XARsRjifMjyQ959ehtD5SK98CvZPL/VPHeHf2r1iiigajvpPriFa
oxoQVnRjduIW3rB7hbTmll8cnVwdqDXOVU+7Vxzw16mIqsDiVWkECzHsfzDu/PtHWGb8uuUiQChz
WALIyD+NY+BrkKiznm78f2r7/vuLoG0fx9QvENZozgoRpDdbgHG7gnQe0LTnJGVXN8JTfP1LIvj3
0zHogwryskjXbt4InAZ4CiYKvv9sHPv3N4KgXmx5GoiLgsphyM/p2Pv9QDrGOAishEhSdjMkPAXs
bXaCLSZmePUIwIj4+RAXmZvZMtYPAiW4k4sgBA223AnOFwcpZ0NFxOHx50NijiUZ/B2QkU/hZ/fi
orx9iUYtLr5nboef7ATkvkmC4Xvv6iKIiL7lTtC+WICZEMP7SWDkjkAST2assquBUUBit1sEJAEt
SGqWKgo18fPhOFAP4X5Hnfp0E+3ecXjuImwTGHWkW1QAzS8di/e3A+x8kS7C6XuKnDu7H54aKtss
hf0FfXt0WJ7vSdEJeZM4UUBQGHNsHg1jHtt8O3lTPNc3WywFR4MqSgAegYOIHw7b+6VA6Ye0StnV
Wuq5RbHFItDWtUDSGKg/PC3C+/1AO8SysXagr7ujOYNwNNouSGoWrqJQGgTM6PGH8/9mJ7AIjokC
NySFp1Xa0aUQZI0tl4JqAvVnBbn+d2tABo0slkLZvbMXxdYbAZVc8NSKjrDK+0+P/7bwuKbju9M7
QHm6uraJCNTU1NMGoPKnw/C+N6gYX/CoI2LQOxM/u3pZflAI+P3SWqAJUXpjrLN5KTgT9B9Mneix
oxFB+NFtGRHwNIA+puIu/5MbQpSdjmky+9vVRdi+tDa+aBDe6LE87flN008xC8HK6ilF2700Wtt+
EYS7BewV9CY27wQ6TcgSygTQp7pl9xbhOYnZJjw6XyiXqBMQX3z8+dBkUbE8NxT0IHd2EZ7e2BaL
wD2p03hG9v1pDQQ4+03CJBDaQiSFhtuuxoTt+wsmSSFngbzxaRXeZ40sAgBx7obn/ubuHYfnjvAW
OwHtU0XcCxZM4cefD4uAUB1STZomOg87WUlq21+RcKYtpjE45z0FRj7q2+MgSk3xH64Q8bOrKdNz
D2ib/WB90WTMlEA8Py3F+1YLhwKpI4dOy24vhbZ1kKSqxLMJ8Sb7eSnel9Zkj7oqQ27Rnsq2HYwP
23ei6awxgvxzO3zoPwq4BfrIDhfqjsYHUQtumUKzCBQROhO4x+P/8boELMRtKfSld3QRjO0XQdwU
CmUjX/Xjz4fEiTklSZMN6mRHF+E5t98mPLLbkboAfvScM3xInIAuKExlUDbc1UXYvseEhh7KdvSY
n0EsmxZBkNpl9c86Yzczh6d7fJv9oIHnkdEafC4rP9aV3KeMc4FS7mp4FMa2W4ZHemsMI8FqPJdU
7/cDgzowT9hg7eoafPD7+u1WExUVQB0QKwhEb46OqFWiH4EGxK4GBu0pwd/mNIDiAMOhY5TwtAjv
NwINBvyMAb85T+FzV/NoQRbe8kwA77LouJETfKwl+IWFrNOufnrBx97y0xvkQyp8Tiqqxx8+6tuC
iv4CIRNM066GhOecfrvTQO/AwnX9ud32oaoka1RRWXPQfhELvnv1g771REbTRY0kcFs/n09iaqgJ
JfenZGFXl+LpO9puPwiIAn3Hn5XWyhfBvyF53NVR7QfX5t++J5lXA/RDqOhlaP+hvwCyiXoSmtKu
3pPI5m0bHhnSmjI4b1w+H38+3JPyF37JsREyFfzsbHzY+p4U+CYMmbgsXgAt728KFdkP5pV0Ync0
MggXjO2uSzG2ZvBE6vQcAzfcFCKTIEbu7E7Yvr8gOk3UlILV8rLp3+YMRAYcVjDN3dnIsH1pTZMF
mxkwwM/X5YfwCLFHLNPu9heMrXMGjgPYBBPI309yBhqvYKCZUgo6Kz+/cSj+hRzrTy7u1A/i+0eq
Lg6sjyyf84cKUay//QsvbMiPD3jFBXsktb75m5dD/vD07CfGmPj//7O+T4J0FlR1GdzV6mOO+Oq3
Lznj4ys9//vnj/jxxd+82MvnevnDFe566/LOHx5/MTy/0eN1Anf4f2P+6379nskm5kYvfyZe+7//
6+2bfRUWf/30PNgkJiU4Nn991H/34cn6PitfHrR3/9//9aRwJfbM1g+f4Lvw8PKcV8+mM7r1s6fr
eN3ylVQvz3r1fG7C7Z+Phlf14Ssl3SC7+YSHp3W5/mOabfRJFyXx1i8xe4j/OM7KjevP/bD18+fx
H7OsZPO8POvV+nM9b/38RflQbRKAFpDQrR++jB/S9OU5r974ZxzXVZN8z+L7+uPjlc84sHtJ/lAG
63jD4z/jyO6lw4ZvVKCstl70g4dyw5oL7PH2jw5Sb0MgEFoAWz/7cB1tiGECaPMJj66qh01r8hkH
9DCr/vjf1HuIHzatzGcc0aP1PQH4ZR3+OkaCDb/12hyty2DT0nzGERXPRqppw1sXWOvt3/pDep/d
BZuilwCkfMLzy7uH+5cH/bXuAt2w/cMz3vvLc149+zOO6RGuVRse/RmnlEfXD+XDsOHxn3FSj9f5
pt3yGef0+KFdf8wd8Sf4jCN6Uq4JARsW5TOO6Gm8vnvYkDuKnvXW+/AUdalNyZ1gUG798POA1LEK
7jesjBAu3/r5F+u7kpIgrTdsdwHH+oQXSP+YPKCjvOkFPuOoXqzFC5TpurzfGMjEVPRTPsUsePA2
fYjPOLXiQyw4AXdBdbfpNT7j+IrX2M/WRbPpthIjw09ZpcMmqP44+R5U+abP8RmHWXyOo3X9sOn5
n3GeeX69/mOyLr+vN+UMYpLyGSvFa0wxK9gQrMUQ6bNeoWzGl4f9dUWK5v/2L+CvN9aEYgK//cPp
YWxcmk85zEEVBUPWvLzPVwvzKWc5+4Uh0KMG2BYtlotf2Wlu/fB6jWF6vG6qDUvzKUdXtFk23MPC
5nrrPXP54K83OY2KNub2DyfHD+oNSZuYGWz/9F/Zlmz7rV42vxR53/bxvzZd3/bpt1m8Ic4LVMfW
i37bfN8QfAW88m8evakt++fM/2Oz9qnV/Ld/gX6xePBd/LAu/+f/AAAA//8=</cx:binary>
              </cx:geoCache>
            </cx:geography>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image" Target="../media/image2.emf"/><Relationship Id="rId7" Type="http://schemas.openxmlformats.org/officeDocument/2006/relationships/chart" Target="../charts/chart5.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10" Type="http://schemas.microsoft.com/office/2014/relationships/chartEx" Target="../charts/chartEx2.xml"/><Relationship Id="rId4" Type="http://schemas.openxmlformats.org/officeDocument/2006/relationships/chart" Target="../charts/chart2.xml"/><Relationship Id="rId9" Type="http://schemas.microsoft.com/office/2014/relationships/chartEx" Target="../charts/chartEx1.xml"/></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hyperlink" Target="https://chandoo.org/wp/" TargetMode="Externa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hyperlink" Target="https://chandoo.org/wp/" TargetMode="External"/><Relationship Id="rId1" Type="http://schemas.openxmlformats.org/officeDocument/2006/relationships/image" Target="../media/image1.png"/><Relationship Id="rId5" Type="http://schemas.openxmlformats.org/officeDocument/2006/relationships/image" Target="../media/image4.png"/><Relationship Id="rId4" Type="http://schemas.openxmlformats.org/officeDocument/2006/relationships/hyperlink" Target="https://chandoo.org/wp/excel-school-program/" TargetMode="External"/></Relationships>
</file>

<file path=xl/drawings/drawing1.xml><?xml version="1.0" encoding="utf-8"?>
<xdr:wsDr xmlns:xdr="http://schemas.openxmlformats.org/drawingml/2006/spreadsheetDrawing" xmlns:a="http://schemas.openxmlformats.org/drawingml/2006/main">
  <xdr:twoCellAnchor>
    <xdr:from>
      <xdr:col>3</xdr:col>
      <xdr:colOff>58317</xdr:colOff>
      <xdr:row>0</xdr:row>
      <xdr:rowOff>58316</xdr:rowOff>
    </xdr:from>
    <xdr:to>
      <xdr:col>49</xdr:col>
      <xdr:colOff>544285</xdr:colOff>
      <xdr:row>78</xdr:row>
      <xdr:rowOff>19437</xdr:rowOff>
    </xdr:to>
    <xdr:sp macro="" textlink="">
      <xdr:nvSpPr>
        <xdr:cNvPr id="3" name="Rectangle 2">
          <a:extLst>
            <a:ext uri="{FF2B5EF4-FFF2-40B4-BE49-F238E27FC236}">
              <a16:creationId xmlns:a16="http://schemas.microsoft.com/office/drawing/2014/main" id="{5BFD0EDE-0A74-4FDE-8BFA-DFA1C713399E}"/>
            </a:ext>
          </a:extLst>
        </xdr:cNvPr>
        <xdr:cNvSpPr/>
      </xdr:nvSpPr>
      <xdr:spPr>
        <a:xfrm>
          <a:off x="2099388" y="58316"/>
          <a:ext cx="28205662" cy="15123366"/>
        </a:xfrm>
        <a:prstGeom prst="rect">
          <a:avLst/>
        </a:prstGeom>
        <a:solidFill>
          <a:srgbClr val="92D050"/>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3</xdr:col>
      <xdr:colOff>0</xdr:colOff>
      <xdr:row>77</xdr:row>
      <xdr:rowOff>136072</xdr:rowOff>
    </xdr:to>
    <xdr:sp macro="" textlink="'e commerce dashboard'!$H$6">
      <xdr:nvSpPr>
        <xdr:cNvPr id="2" name="Rectangle 1">
          <a:extLst>
            <a:ext uri="{FF2B5EF4-FFF2-40B4-BE49-F238E27FC236}">
              <a16:creationId xmlns:a16="http://schemas.microsoft.com/office/drawing/2014/main" id="{EFAA3499-4E24-78E5-EE92-AAC0315EC9DB}"/>
            </a:ext>
          </a:extLst>
        </xdr:cNvPr>
        <xdr:cNvSpPr/>
      </xdr:nvSpPr>
      <xdr:spPr>
        <a:xfrm>
          <a:off x="0" y="0"/>
          <a:ext cx="2041071" cy="15103929"/>
        </a:xfrm>
        <a:prstGeom prst="rect">
          <a:avLst/>
        </a:prstGeom>
        <a:solidFill>
          <a:srgbClr val="03770E"/>
        </a:solidFill>
        <a:ln>
          <a:solidFill>
            <a:srgbClr val="03770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DB8186C0-30BF-4374-A8C6-B929ADC38868}" type="TxLink">
            <a:rPr lang="en-US" sz="1800" b="1" i="0" u="none" strike="noStrike">
              <a:gradFill>
                <a:gsLst>
                  <a:gs pos="20000">
                    <a:schemeClr val="bg1"/>
                  </a:gs>
                  <a:gs pos="72000">
                    <a:schemeClr val="bg1">
                      <a:lumMod val="75000"/>
                    </a:schemeClr>
                  </a:gs>
                </a:gsLst>
                <a:lin ang="5400000" scaled="1"/>
              </a:gradFill>
              <a:effectLst>
                <a:outerShdw blurRad="50800" dist="38100" dir="8100000" algn="tr" rotWithShape="0">
                  <a:prstClr val="black">
                    <a:alpha val="40000"/>
                  </a:prstClr>
                </a:outerShdw>
                <a:reflection stA="45000" endPos="3000" dist="50800" dir="5400000" sy="-100000" algn="bl" rotWithShape="0"/>
              </a:effectLst>
              <a:latin typeface="Aptos Narrow"/>
              <a:ea typeface="+mn-ea"/>
              <a:cs typeface="+mn-cs"/>
            </a:rPr>
            <a:pPr marL="0" indent="0" algn="l"/>
            <a:t> </a:t>
          </a:fld>
          <a:endParaRPr lang="en-IN" sz="1800" b="1" i="0" u="none" strike="noStrike">
            <a:gradFill>
              <a:gsLst>
                <a:gs pos="20000">
                  <a:schemeClr val="bg1"/>
                </a:gs>
                <a:gs pos="72000">
                  <a:schemeClr val="bg1">
                    <a:lumMod val="75000"/>
                  </a:schemeClr>
                </a:gs>
              </a:gsLst>
              <a:lin ang="5400000" scaled="1"/>
            </a:gradFill>
            <a:effectLst>
              <a:outerShdw blurRad="50800" dist="38100" dir="8100000" algn="tr" rotWithShape="0">
                <a:prstClr val="black">
                  <a:alpha val="40000"/>
                </a:prstClr>
              </a:outerShdw>
              <a:reflection stA="45000" endPos="3000" dist="50800" dir="5400000" sy="-100000" algn="bl" rotWithShape="0"/>
            </a:effectLst>
            <a:latin typeface="Aptos Narrow"/>
            <a:ea typeface="+mn-ea"/>
            <a:cs typeface="+mn-cs"/>
          </a:endParaRPr>
        </a:p>
      </xdr:txBody>
    </xdr:sp>
    <xdr:clientData/>
  </xdr:twoCellAnchor>
  <xdr:twoCellAnchor>
    <xdr:from>
      <xdr:col>1</xdr:col>
      <xdr:colOff>144770</xdr:colOff>
      <xdr:row>27</xdr:row>
      <xdr:rowOff>182870</xdr:rowOff>
    </xdr:from>
    <xdr:to>
      <xdr:col>2</xdr:col>
      <xdr:colOff>544819</xdr:colOff>
      <xdr:row>31</xdr:row>
      <xdr:rowOff>138132</xdr:rowOff>
    </xdr:to>
    <xdr:sp macro="" textlink="Sheet1!I6">
      <xdr:nvSpPr>
        <xdr:cNvPr id="5" name="Rectangle 4">
          <a:extLst>
            <a:ext uri="{FF2B5EF4-FFF2-40B4-BE49-F238E27FC236}">
              <a16:creationId xmlns:a16="http://schemas.microsoft.com/office/drawing/2014/main" id="{2D3F428F-3952-4A21-B751-D49D6FAD8D54}"/>
            </a:ext>
          </a:extLst>
        </xdr:cNvPr>
        <xdr:cNvSpPr/>
      </xdr:nvSpPr>
      <xdr:spPr>
        <a:xfrm>
          <a:off x="263833" y="5406737"/>
          <a:ext cx="1739502" cy="729168"/>
        </a:xfrm>
        <a:prstGeom prst="rect">
          <a:avLst/>
        </a:prstGeom>
        <a:solidFill>
          <a:srgbClr val="03770E"/>
        </a:solidFill>
        <a:ln>
          <a:solidFill>
            <a:srgbClr val="03770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70BB86FC-144E-4504-B615-8BC9180A670B}" type="TxLink">
            <a:rPr lang="en-US" sz="2800" b="1" i="0" u="none" strike="noStrike">
              <a:gradFill>
                <a:gsLst>
                  <a:gs pos="20000">
                    <a:schemeClr val="bg1"/>
                  </a:gs>
                  <a:gs pos="72000">
                    <a:schemeClr val="bg1">
                      <a:lumMod val="75000"/>
                    </a:schemeClr>
                  </a:gs>
                </a:gsLst>
                <a:lin ang="5400000" scaled="1"/>
              </a:gradFill>
              <a:effectLst>
                <a:outerShdw blurRad="50800" dist="38100" dir="8100000" algn="tr" rotWithShape="0">
                  <a:prstClr val="black">
                    <a:alpha val="40000"/>
                  </a:prstClr>
                </a:outerShdw>
                <a:reflection stA="45000" endPos="3000" dist="50800" dir="5400000" sy="-100000" algn="bl" rotWithShape="0"/>
              </a:effectLst>
              <a:latin typeface="Aptos Narrow"/>
              <a:ea typeface="+mn-ea"/>
              <a:cs typeface="+mn-cs"/>
            </a:rPr>
            <a:pPr marL="0" indent="0" algn="l"/>
            <a:t>2.3</a:t>
          </a:fld>
          <a:endParaRPr lang="en-IN" sz="2800" b="1" i="0" u="none" strike="noStrike">
            <a:gradFill>
              <a:gsLst>
                <a:gs pos="20000">
                  <a:schemeClr val="bg1"/>
                </a:gs>
                <a:gs pos="72000">
                  <a:schemeClr val="bg1">
                    <a:lumMod val="75000"/>
                  </a:schemeClr>
                </a:gs>
              </a:gsLst>
              <a:lin ang="5400000" scaled="1"/>
            </a:gradFill>
            <a:effectLst>
              <a:outerShdw blurRad="50800" dist="38100" dir="8100000" algn="tr" rotWithShape="0">
                <a:prstClr val="black">
                  <a:alpha val="40000"/>
                </a:prstClr>
              </a:outerShdw>
              <a:reflection stA="45000" endPos="3000" dist="50800" dir="5400000" sy="-100000" algn="bl" rotWithShape="0"/>
            </a:effectLst>
            <a:latin typeface="Aptos Narrow"/>
            <a:ea typeface="+mn-ea"/>
            <a:cs typeface="+mn-cs"/>
          </a:endParaRPr>
        </a:p>
      </xdr:txBody>
    </xdr:sp>
    <xdr:clientData/>
  </xdr:twoCellAnchor>
  <xdr:twoCellAnchor>
    <xdr:from>
      <xdr:col>1</xdr:col>
      <xdr:colOff>102521</xdr:colOff>
      <xdr:row>22</xdr:row>
      <xdr:rowOff>83182</xdr:rowOff>
    </xdr:from>
    <xdr:to>
      <xdr:col>2</xdr:col>
      <xdr:colOff>511788</xdr:colOff>
      <xdr:row>25</xdr:row>
      <xdr:rowOff>190933</xdr:rowOff>
    </xdr:to>
    <xdr:sp macro="" textlink="Sheet1!J6">
      <xdr:nvSpPr>
        <xdr:cNvPr id="6" name="Rectangle 5">
          <a:extLst>
            <a:ext uri="{FF2B5EF4-FFF2-40B4-BE49-F238E27FC236}">
              <a16:creationId xmlns:a16="http://schemas.microsoft.com/office/drawing/2014/main" id="{B5A2A43F-403C-4B26-B03A-EE65FB347D42}"/>
            </a:ext>
          </a:extLst>
        </xdr:cNvPr>
        <xdr:cNvSpPr/>
      </xdr:nvSpPr>
      <xdr:spPr>
        <a:xfrm>
          <a:off x="221584" y="4339666"/>
          <a:ext cx="1748720" cy="688181"/>
        </a:xfrm>
        <a:prstGeom prst="rect">
          <a:avLst/>
        </a:prstGeom>
        <a:solidFill>
          <a:srgbClr val="03770E"/>
        </a:solidFill>
        <a:ln>
          <a:solidFill>
            <a:srgbClr val="03770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16CFE6E7-00D4-4537-ABF5-1ED5FDC739F0}" type="TxLink">
            <a:rPr lang="en-US" sz="2800" b="1" i="0" u="none" strike="noStrike">
              <a:gradFill>
                <a:gsLst>
                  <a:gs pos="20000">
                    <a:schemeClr val="bg1"/>
                  </a:gs>
                  <a:gs pos="72000">
                    <a:schemeClr val="bg1">
                      <a:lumMod val="75000"/>
                    </a:schemeClr>
                  </a:gs>
                </a:gsLst>
                <a:lin ang="5400000" scaled="1"/>
              </a:gradFill>
              <a:effectLst>
                <a:outerShdw blurRad="50800" dist="38100" dir="8100000" algn="tr" rotWithShape="0">
                  <a:prstClr val="black">
                    <a:alpha val="40000"/>
                  </a:prstClr>
                </a:outerShdw>
                <a:reflection stA="45000" endPos="3000" dist="50800" dir="5400000" sy="-100000" algn="bl" rotWithShape="0"/>
              </a:effectLst>
              <a:latin typeface="Aptos Narrow"/>
              <a:ea typeface="+mn-ea"/>
              <a:cs typeface="+mn-cs"/>
            </a:rPr>
            <a:pPr marL="0" indent="0" algn="l"/>
            <a:t>4.0</a:t>
          </a:fld>
          <a:endParaRPr lang="en-IN" sz="2800" b="1" i="0" u="none" strike="noStrike">
            <a:gradFill>
              <a:gsLst>
                <a:gs pos="20000">
                  <a:schemeClr val="bg1"/>
                </a:gs>
                <a:gs pos="72000">
                  <a:schemeClr val="bg1">
                    <a:lumMod val="75000"/>
                  </a:schemeClr>
                </a:gs>
              </a:gsLst>
              <a:lin ang="5400000" scaled="1"/>
            </a:gradFill>
            <a:effectLst>
              <a:outerShdw blurRad="50800" dist="38100" dir="8100000" algn="tr" rotWithShape="0">
                <a:prstClr val="black">
                  <a:alpha val="40000"/>
                </a:prstClr>
              </a:outerShdw>
              <a:reflection stA="45000" endPos="3000" dist="50800" dir="5400000" sy="-100000" algn="bl" rotWithShape="0"/>
            </a:effectLst>
            <a:latin typeface="Aptos Narrow"/>
            <a:ea typeface="+mn-ea"/>
            <a:cs typeface="+mn-cs"/>
          </a:endParaRPr>
        </a:p>
      </xdr:txBody>
    </xdr:sp>
    <xdr:clientData/>
  </xdr:twoCellAnchor>
  <xdr:twoCellAnchor>
    <xdr:from>
      <xdr:col>1</xdr:col>
      <xdr:colOff>88089</xdr:colOff>
      <xdr:row>11</xdr:row>
      <xdr:rowOff>163713</xdr:rowOff>
    </xdr:from>
    <xdr:to>
      <xdr:col>2</xdr:col>
      <xdr:colOff>494199</xdr:colOff>
      <xdr:row>15</xdr:row>
      <xdr:rowOff>147927</xdr:rowOff>
    </xdr:to>
    <xdr:sp macro="" textlink="Sheet1!K6">
      <xdr:nvSpPr>
        <xdr:cNvPr id="7" name="Rectangle 6">
          <a:extLst>
            <a:ext uri="{FF2B5EF4-FFF2-40B4-BE49-F238E27FC236}">
              <a16:creationId xmlns:a16="http://schemas.microsoft.com/office/drawing/2014/main" id="{B8802123-B6A1-45DB-836C-3932F4F5F0AE}"/>
            </a:ext>
          </a:extLst>
        </xdr:cNvPr>
        <xdr:cNvSpPr/>
      </xdr:nvSpPr>
      <xdr:spPr>
        <a:xfrm>
          <a:off x="207152" y="2291955"/>
          <a:ext cx="1745563" cy="758120"/>
        </a:xfrm>
        <a:prstGeom prst="rect">
          <a:avLst/>
        </a:prstGeom>
        <a:solidFill>
          <a:srgbClr val="03770E"/>
        </a:solidFill>
        <a:ln>
          <a:solidFill>
            <a:srgbClr val="03770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16ABB645-F76F-468E-9E51-643409408D24}" type="TxLink">
            <a:rPr lang="en-US" sz="2800" b="1" i="0" u="none" strike="noStrike">
              <a:gradFill>
                <a:gsLst>
                  <a:gs pos="20000">
                    <a:schemeClr val="bg1"/>
                  </a:gs>
                  <a:gs pos="72000">
                    <a:schemeClr val="bg1">
                      <a:lumMod val="75000"/>
                    </a:schemeClr>
                  </a:gs>
                </a:gsLst>
                <a:lin ang="5400000" scaled="1"/>
              </a:gradFill>
              <a:effectLst>
                <a:outerShdw blurRad="50800" dist="38100" dir="8100000" algn="tr" rotWithShape="0">
                  <a:prstClr val="black">
                    <a:alpha val="40000"/>
                  </a:prstClr>
                </a:outerShdw>
                <a:reflection stA="45000" endPos="3000" dist="50800" dir="5400000" sy="-100000" algn="bl" rotWithShape="0"/>
              </a:effectLst>
              <a:latin typeface="Aptos Narrow"/>
              <a:ea typeface="+mn-ea"/>
              <a:cs typeface="+mn-cs"/>
            </a:rPr>
            <a:pPr marL="0" indent="0" algn="l"/>
            <a:t>11,997</a:t>
          </a:fld>
          <a:endParaRPr lang="en-IN" sz="2800" b="1" i="0" u="none" strike="noStrike">
            <a:gradFill>
              <a:gsLst>
                <a:gs pos="20000">
                  <a:schemeClr val="bg1"/>
                </a:gs>
                <a:gs pos="72000">
                  <a:schemeClr val="bg1">
                    <a:lumMod val="75000"/>
                  </a:schemeClr>
                </a:gs>
              </a:gsLst>
              <a:lin ang="5400000" scaled="1"/>
            </a:gradFill>
            <a:effectLst>
              <a:outerShdw blurRad="50800" dist="38100" dir="8100000" algn="tr" rotWithShape="0">
                <a:prstClr val="black">
                  <a:alpha val="40000"/>
                </a:prstClr>
              </a:outerShdw>
              <a:reflection stA="45000" endPos="3000" dist="50800" dir="5400000" sy="-100000" algn="bl" rotWithShape="0"/>
            </a:effectLst>
            <a:latin typeface="Aptos Narrow"/>
            <a:ea typeface="+mn-ea"/>
            <a:cs typeface="+mn-cs"/>
          </a:endParaRPr>
        </a:p>
      </xdr:txBody>
    </xdr:sp>
    <xdr:clientData/>
  </xdr:twoCellAnchor>
  <xdr:twoCellAnchor>
    <xdr:from>
      <xdr:col>1</xdr:col>
      <xdr:colOff>57873</xdr:colOff>
      <xdr:row>17</xdr:row>
      <xdr:rowOff>56826</xdr:rowOff>
    </xdr:from>
    <xdr:to>
      <xdr:col>2</xdr:col>
      <xdr:colOff>467140</xdr:colOff>
      <xdr:row>20</xdr:row>
      <xdr:rowOff>71258</xdr:rowOff>
    </xdr:to>
    <xdr:sp macro="" textlink="Sheet1!L6">
      <xdr:nvSpPr>
        <xdr:cNvPr id="8" name="Rectangle 7">
          <a:extLst>
            <a:ext uri="{FF2B5EF4-FFF2-40B4-BE49-F238E27FC236}">
              <a16:creationId xmlns:a16="http://schemas.microsoft.com/office/drawing/2014/main" id="{A888DE0C-5277-407C-B46F-653D1AA497D1}"/>
            </a:ext>
          </a:extLst>
        </xdr:cNvPr>
        <xdr:cNvSpPr/>
      </xdr:nvSpPr>
      <xdr:spPr>
        <a:xfrm>
          <a:off x="176936" y="3345928"/>
          <a:ext cx="1748720" cy="594861"/>
        </a:xfrm>
        <a:prstGeom prst="rect">
          <a:avLst/>
        </a:prstGeom>
        <a:solidFill>
          <a:srgbClr val="03770E"/>
        </a:solidFill>
        <a:ln>
          <a:solidFill>
            <a:srgbClr val="03770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4B33250C-5969-4635-9D24-8346C4781A21}" type="TxLink">
            <a:rPr lang="en-US" sz="2800" b="1" i="0" u="none" strike="noStrike">
              <a:gradFill>
                <a:gsLst>
                  <a:gs pos="20000">
                    <a:schemeClr val="bg1"/>
                  </a:gs>
                  <a:gs pos="72000">
                    <a:schemeClr val="bg1">
                      <a:lumMod val="75000"/>
                    </a:schemeClr>
                  </a:gs>
                </a:gsLst>
                <a:lin ang="5400000" scaled="1"/>
              </a:gradFill>
              <a:effectLst>
                <a:outerShdw blurRad="50800" dist="38100" dir="8100000" algn="tr" rotWithShape="0">
                  <a:prstClr val="black">
                    <a:alpha val="40000"/>
                  </a:prstClr>
                </a:outerShdw>
                <a:reflection stA="45000" endPos="3000" dist="50800" dir="5400000" sy="-100000" algn="bl" rotWithShape="0"/>
              </a:effectLst>
              <a:latin typeface="Aptos Narrow"/>
              <a:ea typeface="+mn-ea"/>
              <a:cs typeface="+mn-cs"/>
            </a:rPr>
            <a:pPr marL="0" indent="0" algn="l"/>
            <a:t>$649.0k</a:t>
          </a:fld>
          <a:endParaRPr lang="en-IN" sz="2800" b="1" i="0" u="none" strike="noStrike">
            <a:gradFill>
              <a:gsLst>
                <a:gs pos="20000">
                  <a:schemeClr val="bg1"/>
                </a:gs>
                <a:gs pos="72000">
                  <a:schemeClr val="bg1">
                    <a:lumMod val="75000"/>
                  </a:schemeClr>
                </a:gs>
              </a:gsLst>
              <a:lin ang="5400000" scaled="1"/>
            </a:gradFill>
            <a:effectLst>
              <a:outerShdw blurRad="50800" dist="38100" dir="8100000" algn="tr" rotWithShape="0">
                <a:prstClr val="black">
                  <a:alpha val="40000"/>
                </a:prstClr>
              </a:outerShdw>
              <a:reflection stA="45000" endPos="3000" dist="50800" dir="5400000" sy="-100000" algn="bl" rotWithShape="0"/>
            </a:effectLst>
            <a:latin typeface="Aptos Narrow"/>
            <a:ea typeface="+mn-ea"/>
            <a:cs typeface="+mn-cs"/>
          </a:endParaRPr>
        </a:p>
      </xdr:txBody>
    </xdr:sp>
    <xdr:clientData/>
  </xdr:twoCellAnchor>
  <xdr:twoCellAnchor>
    <xdr:from>
      <xdr:col>1</xdr:col>
      <xdr:colOff>136004</xdr:colOff>
      <xdr:row>6</xdr:row>
      <xdr:rowOff>135154</xdr:rowOff>
    </xdr:from>
    <xdr:to>
      <xdr:col>2</xdr:col>
      <xdr:colOff>539210</xdr:colOff>
      <xdr:row>10</xdr:row>
      <xdr:rowOff>90416</xdr:rowOff>
    </xdr:to>
    <xdr:sp macro="" textlink="Sheet1!J6">
      <xdr:nvSpPr>
        <xdr:cNvPr id="11" name="Rectangle 10">
          <a:extLst>
            <a:ext uri="{FF2B5EF4-FFF2-40B4-BE49-F238E27FC236}">
              <a16:creationId xmlns:a16="http://schemas.microsoft.com/office/drawing/2014/main" id="{DB57FC7E-6515-4CCE-857B-F8882BB9DEB5}"/>
            </a:ext>
          </a:extLst>
        </xdr:cNvPr>
        <xdr:cNvSpPr/>
      </xdr:nvSpPr>
      <xdr:spPr>
        <a:xfrm>
          <a:off x="255067" y="1296013"/>
          <a:ext cx="1742659" cy="729169"/>
        </a:xfrm>
        <a:prstGeom prst="rect">
          <a:avLst/>
        </a:prstGeom>
        <a:solidFill>
          <a:srgbClr val="03770E"/>
        </a:solidFill>
        <a:ln>
          <a:solidFill>
            <a:srgbClr val="03770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9F5BA4F-8865-462C-891C-F421BFC44C9D}" type="TxLink">
            <a:rPr lang="en-US" sz="2800" b="1" i="0" u="none" strike="noStrike">
              <a:gradFill>
                <a:gsLst>
                  <a:gs pos="20000">
                    <a:schemeClr val="bg1"/>
                  </a:gs>
                  <a:gs pos="72000">
                    <a:schemeClr val="bg1">
                      <a:lumMod val="75000"/>
                    </a:schemeClr>
                  </a:gs>
                </a:gsLst>
                <a:lin ang="5400000" scaled="1"/>
              </a:gradFill>
              <a:effectLst>
                <a:outerShdw blurRad="50800" dist="38100" dir="8100000" algn="tr" rotWithShape="0">
                  <a:prstClr val="black">
                    <a:alpha val="40000"/>
                  </a:prstClr>
                </a:outerShdw>
                <a:reflection stA="45000" endPos="3000" dist="50800" dir="5400000" sy="-100000" algn="bl" rotWithShape="0"/>
              </a:effectLst>
              <a:latin typeface="Aptos Narrow"/>
            </a:rPr>
            <a:pPr algn="l"/>
            <a:t>4.0</a:t>
          </a:fld>
          <a:endParaRPr lang="en-IN" sz="2800" b="1">
            <a:gradFill>
              <a:gsLst>
                <a:gs pos="20000">
                  <a:schemeClr val="bg1"/>
                </a:gs>
                <a:gs pos="72000">
                  <a:schemeClr val="bg1">
                    <a:lumMod val="75000"/>
                  </a:schemeClr>
                </a:gs>
              </a:gsLst>
              <a:lin ang="5400000" scaled="1"/>
            </a:gradFill>
            <a:effectLst>
              <a:outerShdw blurRad="50800" dist="38100" dir="8100000" algn="tr" rotWithShape="0">
                <a:prstClr val="black">
                  <a:alpha val="40000"/>
                </a:prstClr>
              </a:outerShdw>
              <a:reflection stA="45000" endPos="3000" dist="50800" dir="5400000" sy="-100000" algn="bl" rotWithShape="0"/>
            </a:effectLst>
          </a:endParaRPr>
        </a:p>
      </xdr:txBody>
    </xdr:sp>
    <xdr:clientData/>
  </xdr:twoCellAnchor>
  <xdr:oneCellAnchor>
    <xdr:from>
      <xdr:col>1</xdr:col>
      <xdr:colOff>14432</xdr:colOff>
      <xdr:row>4</xdr:row>
      <xdr:rowOff>144318</xdr:rowOff>
    </xdr:from>
    <xdr:ext cx="1197841" cy="606136"/>
    <xdr:sp macro="" textlink="">
      <xdr:nvSpPr>
        <xdr:cNvPr id="12" name="TextBox 11">
          <a:extLst>
            <a:ext uri="{FF2B5EF4-FFF2-40B4-BE49-F238E27FC236}">
              <a16:creationId xmlns:a16="http://schemas.microsoft.com/office/drawing/2014/main" id="{F8A3DF7C-22A2-1598-1565-DEA3DAE030AB}"/>
            </a:ext>
          </a:extLst>
        </xdr:cNvPr>
        <xdr:cNvSpPr txBox="1"/>
      </xdr:nvSpPr>
      <xdr:spPr>
        <a:xfrm>
          <a:off x="144318" y="894773"/>
          <a:ext cx="1197841" cy="6061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800" b="1" i="0" u="none" strike="noStrike">
              <a:gradFill>
                <a:gsLst>
                  <a:gs pos="20000">
                    <a:schemeClr val="bg1"/>
                  </a:gs>
                  <a:gs pos="72000">
                    <a:schemeClr val="bg1">
                      <a:lumMod val="75000"/>
                    </a:schemeClr>
                  </a:gs>
                </a:gsLst>
                <a:lin ang="5400000" scaled="1"/>
              </a:gradFill>
              <a:effectLst>
                <a:outerShdw blurRad="50800" dist="38100" dir="8100000" algn="tr" rotWithShape="0">
                  <a:prstClr val="black">
                    <a:alpha val="40000"/>
                  </a:prstClr>
                </a:outerShdw>
                <a:reflection stA="45000" endPos="3000" dist="50800" dir="5400000" sy="-100000" algn="bl" rotWithShape="0"/>
              </a:effectLst>
              <a:latin typeface="Aptos Narrow"/>
              <a:ea typeface="+mn-ea"/>
              <a:cs typeface="+mn-cs"/>
            </a:rPr>
            <a:t>🛒</a:t>
          </a:r>
          <a:r>
            <a:rPr lang="en-IN" sz="2000" b="1" i="0" u="none" strike="noStrike">
              <a:gradFill>
                <a:gsLst>
                  <a:gs pos="20000">
                    <a:schemeClr val="bg1"/>
                  </a:gs>
                  <a:gs pos="72000">
                    <a:schemeClr val="bg1">
                      <a:lumMod val="75000"/>
                    </a:schemeClr>
                  </a:gs>
                </a:gsLst>
                <a:lin ang="5400000" scaled="1"/>
              </a:gradFill>
              <a:effectLst>
                <a:outerShdw blurRad="50800" dist="38100" dir="8100000" algn="tr" rotWithShape="0">
                  <a:prstClr val="black">
                    <a:alpha val="40000"/>
                  </a:prstClr>
                </a:outerShdw>
                <a:reflection stA="45000" endPos="3000" dist="50800" dir="5400000" sy="-100000" algn="bl" rotWithShape="0"/>
              </a:effectLst>
              <a:latin typeface="Aptos Narrow"/>
              <a:ea typeface="+mn-ea"/>
              <a:cs typeface="+mn-cs"/>
            </a:rPr>
            <a:t>Orders</a:t>
          </a:r>
        </a:p>
      </xdr:txBody>
    </xdr:sp>
    <xdr:clientData/>
  </xdr:oneCellAnchor>
  <xdr:oneCellAnchor>
    <xdr:from>
      <xdr:col>1</xdr:col>
      <xdr:colOff>26157</xdr:colOff>
      <xdr:row>9</xdr:row>
      <xdr:rowOff>133043</xdr:rowOff>
    </xdr:from>
    <xdr:ext cx="1760682" cy="432504"/>
    <xdr:sp macro="" textlink="">
      <xdr:nvSpPr>
        <xdr:cNvPr id="13" name="TextBox 12">
          <a:extLst>
            <a:ext uri="{FF2B5EF4-FFF2-40B4-BE49-F238E27FC236}">
              <a16:creationId xmlns:a16="http://schemas.microsoft.com/office/drawing/2014/main" id="{524F5D37-01FC-8CB1-CD93-48A5C567EEDB}"/>
            </a:ext>
          </a:extLst>
        </xdr:cNvPr>
        <xdr:cNvSpPr txBox="1"/>
      </xdr:nvSpPr>
      <xdr:spPr>
        <a:xfrm>
          <a:off x="145220" y="1874332"/>
          <a:ext cx="1760682" cy="4325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2000" b="1" i="0" u="none" strike="noStrike">
              <a:gradFill>
                <a:gsLst>
                  <a:gs pos="20000">
                    <a:schemeClr val="bg1"/>
                  </a:gs>
                  <a:gs pos="72000">
                    <a:schemeClr val="bg1">
                      <a:lumMod val="75000"/>
                    </a:schemeClr>
                  </a:gs>
                </a:gsLst>
                <a:lin ang="5400000" scaled="1"/>
              </a:gradFill>
              <a:effectLst>
                <a:outerShdw blurRad="50800" dist="38100" dir="8100000" algn="tr" rotWithShape="0">
                  <a:prstClr val="black">
                    <a:alpha val="40000"/>
                  </a:prstClr>
                </a:outerShdw>
                <a:reflection stA="45000" endPos="3000" dist="50800" dir="5400000" sy="-100000" algn="bl" rotWithShape="0"/>
              </a:effectLst>
              <a:latin typeface="Aptos Narrow"/>
              <a:ea typeface="+mn-ea"/>
              <a:cs typeface="+mn-cs"/>
            </a:rPr>
            <a:t>🧺Quantity</a:t>
          </a:r>
        </a:p>
      </xdr:txBody>
    </xdr:sp>
    <xdr:clientData/>
  </xdr:oneCellAnchor>
  <xdr:oneCellAnchor>
    <xdr:from>
      <xdr:col>1</xdr:col>
      <xdr:colOff>187614</xdr:colOff>
      <xdr:row>17</xdr:row>
      <xdr:rowOff>144318</xdr:rowOff>
    </xdr:from>
    <xdr:ext cx="184731" cy="374077"/>
    <xdr:sp macro="" textlink="">
      <xdr:nvSpPr>
        <xdr:cNvPr id="14" name="TextBox 13">
          <a:extLst>
            <a:ext uri="{FF2B5EF4-FFF2-40B4-BE49-F238E27FC236}">
              <a16:creationId xmlns:a16="http://schemas.microsoft.com/office/drawing/2014/main" id="{4B326ED5-881F-926D-B838-CB1A207F6513}"/>
            </a:ext>
          </a:extLst>
        </xdr:cNvPr>
        <xdr:cNvSpPr txBox="1"/>
      </xdr:nvSpPr>
      <xdr:spPr>
        <a:xfrm>
          <a:off x="306677" y="3433420"/>
          <a:ext cx="184731"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800" b="1" i="0" u="none" strike="noStrike">
            <a:gradFill>
              <a:gsLst>
                <a:gs pos="20000">
                  <a:schemeClr val="bg1"/>
                </a:gs>
                <a:gs pos="72000">
                  <a:schemeClr val="bg1">
                    <a:lumMod val="75000"/>
                  </a:schemeClr>
                </a:gs>
              </a:gsLst>
              <a:lin ang="5400000" scaled="1"/>
            </a:gradFill>
            <a:effectLst>
              <a:outerShdw blurRad="50800" dist="38100" dir="8100000" algn="tr" rotWithShape="0">
                <a:prstClr val="black">
                  <a:alpha val="40000"/>
                </a:prstClr>
              </a:outerShdw>
              <a:reflection stA="45000" endPos="3000" dist="50800" dir="5400000" sy="-100000" algn="bl" rotWithShape="0"/>
            </a:effectLst>
            <a:latin typeface="Aptos Narrow"/>
            <a:ea typeface="+mn-ea"/>
            <a:cs typeface="+mn-cs"/>
          </a:endParaRPr>
        </a:p>
      </xdr:txBody>
    </xdr:sp>
    <xdr:clientData/>
  </xdr:oneCellAnchor>
  <xdr:twoCellAnchor>
    <xdr:from>
      <xdr:col>0</xdr:col>
      <xdr:colOff>73062</xdr:colOff>
      <xdr:row>19</xdr:row>
      <xdr:rowOff>176339</xdr:rowOff>
    </xdr:from>
    <xdr:to>
      <xdr:col>2</xdr:col>
      <xdr:colOff>386953</xdr:colOff>
      <xdr:row>22</xdr:row>
      <xdr:rowOff>11727</xdr:rowOff>
    </xdr:to>
    <xdr:sp macro="" textlink="">
      <xdr:nvSpPr>
        <xdr:cNvPr id="16" name="TextBox 15">
          <a:extLst>
            <a:ext uri="{FF2B5EF4-FFF2-40B4-BE49-F238E27FC236}">
              <a16:creationId xmlns:a16="http://schemas.microsoft.com/office/drawing/2014/main" id="{FE473876-8C26-AE10-8422-55CEC8AF3806}"/>
            </a:ext>
          </a:extLst>
        </xdr:cNvPr>
        <xdr:cNvSpPr txBox="1"/>
      </xdr:nvSpPr>
      <xdr:spPr>
        <a:xfrm>
          <a:off x="73062" y="3852394"/>
          <a:ext cx="1772407" cy="415817"/>
        </a:xfrm>
        <a:prstGeom prst="rect">
          <a:avLst/>
        </a:prstGeom>
        <a:solidFill>
          <a:srgbClr val="03770E"/>
        </a:solidFill>
        <a:ln w="9525" cmpd="sng">
          <a:solidFill>
            <a:srgbClr val="03770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0" i="0" u="none" strike="noStrike">
              <a:solidFill>
                <a:schemeClr val="dk1"/>
              </a:solidFill>
              <a:effectLst/>
              <a:latin typeface="+mn-lt"/>
              <a:ea typeface="+mn-ea"/>
              <a:cs typeface="+mn-cs"/>
            </a:rPr>
            <a:t>⭐</a:t>
          </a:r>
          <a:r>
            <a:rPr lang="en-IN" sz="2000"/>
            <a:t> </a:t>
          </a:r>
          <a:r>
            <a:rPr lang="en-IN" sz="2000" b="1" i="0" u="none" strike="noStrike">
              <a:gradFill>
                <a:gsLst>
                  <a:gs pos="20000">
                    <a:schemeClr val="bg1"/>
                  </a:gs>
                  <a:gs pos="72000">
                    <a:schemeClr val="bg1">
                      <a:lumMod val="75000"/>
                    </a:schemeClr>
                  </a:gs>
                </a:gsLst>
                <a:lin ang="5400000" scaled="1"/>
              </a:gradFill>
              <a:effectLst>
                <a:outerShdw blurRad="50800" dist="38100" dir="8100000" algn="tr" rotWithShape="0">
                  <a:prstClr val="black">
                    <a:alpha val="40000"/>
                  </a:prstClr>
                </a:outerShdw>
                <a:reflection stA="45000" endPos="3000" dist="50800" dir="5400000" sy="-100000" algn="bl" rotWithShape="0"/>
              </a:effectLst>
              <a:latin typeface="Aptos Narrow"/>
              <a:ea typeface="+mn-ea"/>
              <a:cs typeface="+mn-cs"/>
            </a:rPr>
            <a:t>Avg</a:t>
          </a:r>
          <a:r>
            <a:rPr lang="en-IN" sz="1800" b="1" i="0" u="none" strike="noStrike">
              <a:gradFill>
                <a:gsLst>
                  <a:gs pos="20000">
                    <a:schemeClr val="bg1"/>
                  </a:gs>
                  <a:gs pos="72000">
                    <a:schemeClr val="bg1">
                      <a:lumMod val="75000"/>
                    </a:schemeClr>
                  </a:gs>
                </a:gsLst>
                <a:lin ang="5400000" scaled="1"/>
              </a:gradFill>
              <a:effectLst>
                <a:outerShdw blurRad="50800" dist="38100" dir="8100000" algn="tr" rotWithShape="0">
                  <a:prstClr val="black">
                    <a:alpha val="40000"/>
                  </a:prstClr>
                </a:outerShdw>
                <a:reflection stA="45000" endPos="3000" dist="50800" dir="5400000" sy="-100000" algn="bl" rotWithShape="0"/>
              </a:effectLst>
              <a:latin typeface="Aptos Narrow"/>
              <a:ea typeface="+mn-ea"/>
              <a:cs typeface="+mn-cs"/>
            </a:rPr>
            <a:t>.</a:t>
          </a:r>
          <a:r>
            <a:rPr lang="en-IN" sz="2000" b="1" i="0" u="none" strike="noStrike">
              <a:gradFill>
                <a:gsLst>
                  <a:gs pos="20000">
                    <a:schemeClr val="bg1"/>
                  </a:gs>
                  <a:gs pos="72000">
                    <a:schemeClr val="bg1">
                      <a:lumMod val="75000"/>
                    </a:schemeClr>
                  </a:gs>
                </a:gsLst>
                <a:lin ang="5400000" scaled="1"/>
              </a:gradFill>
              <a:effectLst>
                <a:outerShdw blurRad="50800" dist="38100" dir="8100000" algn="tr" rotWithShape="0">
                  <a:prstClr val="black">
                    <a:alpha val="40000"/>
                  </a:prstClr>
                </a:outerShdw>
                <a:reflection stA="45000" endPos="3000" dist="50800" dir="5400000" sy="-100000" algn="bl" rotWithShape="0"/>
              </a:effectLst>
              <a:latin typeface="Aptos Narrow"/>
              <a:ea typeface="+mn-ea"/>
              <a:cs typeface="+mn-cs"/>
            </a:rPr>
            <a:t>Rating</a:t>
          </a:r>
        </a:p>
      </xdr:txBody>
    </xdr:sp>
    <xdr:clientData/>
  </xdr:twoCellAnchor>
  <xdr:oneCellAnchor>
    <xdr:from>
      <xdr:col>0</xdr:col>
      <xdr:colOff>0</xdr:colOff>
      <xdr:row>25</xdr:row>
      <xdr:rowOff>74414</xdr:rowOff>
    </xdr:from>
    <xdr:ext cx="1919883" cy="476249"/>
    <xdr:sp macro="" textlink="">
      <xdr:nvSpPr>
        <xdr:cNvPr id="17" name="TextBox 16">
          <a:extLst>
            <a:ext uri="{FF2B5EF4-FFF2-40B4-BE49-F238E27FC236}">
              <a16:creationId xmlns:a16="http://schemas.microsoft.com/office/drawing/2014/main" id="{7B3E47A5-028D-5815-74C9-CDF263E2E55F}"/>
            </a:ext>
          </a:extLst>
        </xdr:cNvPr>
        <xdr:cNvSpPr txBox="1"/>
      </xdr:nvSpPr>
      <xdr:spPr>
        <a:xfrm>
          <a:off x="0" y="4911328"/>
          <a:ext cx="1919883" cy="4762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800" b="1" i="0" u="none" strike="noStrike">
              <a:gradFill>
                <a:gsLst>
                  <a:gs pos="20000">
                    <a:schemeClr val="bg1"/>
                  </a:gs>
                  <a:gs pos="72000">
                    <a:schemeClr val="bg1">
                      <a:lumMod val="75000"/>
                    </a:schemeClr>
                  </a:gs>
                </a:gsLst>
                <a:lin ang="5400000" scaled="1"/>
              </a:gradFill>
              <a:effectLst>
                <a:outerShdw blurRad="50800" dist="38100" dir="8100000" algn="tr" rotWithShape="0">
                  <a:prstClr val="black">
                    <a:alpha val="40000"/>
                  </a:prstClr>
                </a:outerShdw>
                <a:reflection stA="45000" endPos="3000" dist="50800" dir="5400000" sy="-100000" algn="bl" rotWithShape="0"/>
              </a:effectLst>
              <a:latin typeface="Aptos Narrow"/>
              <a:ea typeface="+mn-ea"/>
              <a:cs typeface="+mn-cs"/>
            </a:rPr>
            <a:t>📆Days to Deliver</a:t>
          </a:r>
        </a:p>
      </xdr:txBody>
    </xdr:sp>
    <xdr:clientData/>
  </xdr:oneCellAnchor>
  <xdr:twoCellAnchor>
    <xdr:from>
      <xdr:col>0</xdr:col>
      <xdr:colOff>104179</xdr:colOff>
      <xdr:row>14</xdr:row>
      <xdr:rowOff>163710</xdr:rowOff>
    </xdr:from>
    <xdr:to>
      <xdr:col>2</xdr:col>
      <xdr:colOff>178593</xdr:colOff>
      <xdr:row>17</xdr:row>
      <xdr:rowOff>29765</xdr:rowOff>
    </xdr:to>
    <xdr:sp macro="" textlink="">
      <xdr:nvSpPr>
        <xdr:cNvPr id="18" name="TextBox 17">
          <a:extLst>
            <a:ext uri="{FF2B5EF4-FFF2-40B4-BE49-F238E27FC236}">
              <a16:creationId xmlns:a16="http://schemas.microsoft.com/office/drawing/2014/main" id="{33294151-6FA6-B702-ED70-8E1BAD73F474}"/>
            </a:ext>
          </a:extLst>
        </xdr:cNvPr>
        <xdr:cNvSpPr txBox="1"/>
      </xdr:nvSpPr>
      <xdr:spPr>
        <a:xfrm>
          <a:off x="104179" y="2872382"/>
          <a:ext cx="1532930" cy="446485"/>
        </a:xfrm>
        <a:prstGeom prst="rect">
          <a:avLst/>
        </a:prstGeom>
        <a:solidFill>
          <a:srgbClr val="03770E"/>
        </a:solidFill>
        <a:ln w="9525" cmpd="sng">
          <a:solidFill>
            <a:srgbClr val="03770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t>💰</a:t>
          </a:r>
          <a:r>
            <a:rPr lang="en-US" sz="1800" b="1" i="0" u="none" strike="noStrike">
              <a:gradFill>
                <a:gsLst>
                  <a:gs pos="20000">
                    <a:schemeClr val="bg1"/>
                  </a:gs>
                  <a:gs pos="72000">
                    <a:schemeClr val="bg1">
                      <a:lumMod val="75000"/>
                    </a:schemeClr>
                  </a:gs>
                </a:gsLst>
                <a:lin ang="5400000" scaled="1"/>
              </a:gradFill>
              <a:effectLst>
                <a:outerShdw blurRad="50800" dist="38100" dir="8100000" algn="tr" rotWithShape="0">
                  <a:prstClr val="black">
                    <a:alpha val="40000"/>
                  </a:prstClr>
                </a:outerShdw>
                <a:reflection stA="45000" endPos="3000" dist="50800" dir="5400000" sy="-100000" algn="bl" rotWithShape="0"/>
              </a:effectLst>
              <a:latin typeface="Aptos Narrow"/>
              <a:ea typeface="+mn-ea"/>
              <a:cs typeface="+mn-cs"/>
            </a:rPr>
            <a:t>Amount</a:t>
          </a:r>
          <a:endParaRPr lang="en-IN" sz="1800" b="1" i="0" u="none" strike="noStrike">
            <a:gradFill>
              <a:gsLst>
                <a:gs pos="20000">
                  <a:schemeClr val="bg1"/>
                </a:gs>
                <a:gs pos="72000">
                  <a:schemeClr val="bg1">
                    <a:lumMod val="75000"/>
                  </a:schemeClr>
                </a:gs>
              </a:gsLst>
              <a:lin ang="5400000" scaled="1"/>
            </a:gradFill>
            <a:effectLst>
              <a:outerShdw blurRad="50800" dist="38100" dir="8100000" algn="tr" rotWithShape="0">
                <a:prstClr val="black">
                  <a:alpha val="40000"/>
                </a:prstClr>
              </a:outerShdw>
              <a:reflection stA="45000" endPos="3000" dist="50800" dir="5400000" sy="-100000" algn="bl" rotWithShape="0"/>
            </a:effectLst>
            <a:latin typeface="Aptos Narrow"/>
            <a:ea typeface="+mn-ea"/>
            <a:cs typeface="+mn-cs"/>
          </a:endParaRPr>
        </a:p>
      </xdr:txBody>
    </xdr:sp>
    <xdr:clientData/>
  </xdr:twoCellAnchor>
  <xdr:twoCellAnchor editAs="oneCell">
    <xdr:from>
      <xdr:col>0</xdr:col>
      <xdr:colOff>104180</xdr:colOff>
      <xdr:row>0</xdr:row>
      <xdr:rowOff>59531</xdr:rowOff>
    </xdr:from>
    <xdr:to>
      <xdr:col>2</xdr:col>
      <xdr:colOff>461367</xdr:colOff>
      <xdr:row>4</xdr:row>
      <xdr:rowOff>133945</xdr:rowOff>
    </xdr:to>
    <xdr:pic>
      <xdr:nvPicPr>
        <xdr:cNvPr id="19" name="Picture 18">
          <a:extLst>
            <a:ext uri="{FF2B5EF4-FFF2-40B4-BE49-F238E27FC236}">
              <a16:creationId xmlns:a16="http://schemas.microsoft.com/office/drawing/2014/main" id="{42CE1DAD-544F-4F3F-9FB0-D9C03A6B7C7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04180" y="59531"/>
          <a:ext cx="1815703" cy="848320"/>
        </a:xfrm>
        <a:prstGeom prst="rect">
          <a:avLst/>
        </a:prstGeom>
      </xdr:spPr>
    </xdr:pic>
    <xdr:clientData/>
  </xdr:twoCellAnchor>
  <xdr:twoCellAnchor>
    <xdr:from>
      <xdr:col>4</xdr:col>
      <xdr:colOff>171913</xdr:colOff>
      <xdr:row>1</xdr:row>
      <xdr:rowOff>77754</xdr:rowOff>
    </xdr:from>
    <xdr:to>
      <xdr:col>18</xdr:col>
      <xdr:colOff>349898</xdr:colOff>
      <xdr:row>22</xdr:row>
      <xdr:rowOff>108736</xdr:rowOff>
    </xdr:to>
    <xdr:graphicFrame macro="">
      <xdr:nvGraphicFramePr>
        <xdr:cNvPr id="20" name="Chart 19">
          <a:extLst>
            <a:ext uri="{FF2B5EF4-FFF2-40B4-BE49-F238E27FC236}">
              <a16:creationId xmlns:a16="http://schemas.microsoft.com/office/drawing/2014/main" id="{68C3C988-A165-432C-AD61-CFFA51B25E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123621</xdr:colOff>
      <xdr:row>1</xdr:row>
      <xdr:rowOff>97193</xdr:rowOff>
    </xdr:from>
    <xdr:to>
      <xdr:col>32</xdr:col>
      <xdr:colOff>485969</xdr:colOff>
      <xdr:row>22</xdr:row>
      <xdr:rowOff>69856</xdr:rowOff>
    </xdr:to>
    <xdr:sp macro="" textlink="">
      <xdr:nvSpPr>
        <xdr:cNvPr id="25" name="Rectangle 24">
          <a:extLst>
            <a:ext uri="{FF2B5EF4-FFF2-40B4-BE49-F238E27FC236}">
              <a16:creationId xmlns:a16="http://schemas.microsoft.com/office/drawing/2014/main" id="{99951EA6-1B9B-0853-4DDD-01AB025AE651}"/>
            </a:ext>
          </a:extLst>
        </xdr:cNvPr>
        <xdr:cNvSpPr/>
      </xdr:nvSpPr>
      <xdr:spPr>
        <a:xfrm>
          <a:off x="12408927" y="291581"/>
          <a:ext cx="7593573" cy="4054806"/>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20</xdr:col>
      <xdr:colOff>600778</xdr:colOff>
      <xdr:row>4</xdr:row>
      <xdr:rowOff>78968</xdr:rowOff>
    </xdr:from>
    <xdr:to>
      <xdr:col>31</xdr:col>
      <xdr:colOff>427653</xdr:colOff>
      <xdr:row>20</xdr:row>
      <xdr:rowOff>138500</xdr:rowOff>
    </xdr:to>
    <xdr:pic>
      <xdr:nvPicPr>
        <xdr:cNvPr id="24" name="Picture 23">
          <a:extLst>
            <a:ext uri="{FF2B5EF4-FFF2-40B4-BE49-F238E27FC236}">
              <a16:creationId xmlns:a16="http://schemas.microsoft.com/office/drawing/2014/main" id="{CAADF2A0-8D98-8C91-E9BF-5F76C3B464A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886084" y="856519"/>
          <a:ext cx="6455498" cy="31697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34</xdr:col>
      <xdr:colOff>49672</xdr:colOff>
      <xdr:row>1</xdr:row>
      <xdr:rowOff>58316</xdr:rowOff>
    </xdr:from>
    <xdr:to>
      <xdr:col>48</xdr:col>
      <xdr:colOff>233265</xdr:colOff>
      <xdr:row>21</xdr:row>
      <xdr:rowOff>189833</xdr:rowOff>
    </xdr:to>
    <xdr:graphicFrame macro="">
      <xdr:nvGraphicFramePr>
        <xdr:cNvPr id="26" name="Chart 25">
          <a:extLst>
            <a:ext uri="{FF2B5EF4-FFF2-40B4-BE49-F238E27FC236}">
              <a16:creationId xmlns:a16="http://schemas.microsoft.com/office/drawing/2014/main" id="{EA3C5408-483F-405A-8D67-38DA6C9D4A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97194</xdr:colOff>
      <xdr:row>25</xdr:row>
      <xdr:rowOff>0</xdr:rowOff>
    </xdr:from>
    <xdr:to>
      <xdr:col>18</xdr:col>
      <xdr:colOff>406620</xdr:colOff>
      <xdr:row>68</xdr:row>
      <xdr:rowOff>182917</xdr:rowOff>
    </xdr:to>
    <xdr:graphicFrame macro="">
      <xdr:nvGraphicFramePr>
        <xdr:cNvPr id="28" name="Chart 27">
          <a:extLst>
            <a:ext uri="{FF2B5EF4-FFF2-40B4-BE49-F238E27FC236}">
              <a16:creationId xmlns:a16="http://schemas.microsoft.com/office/drawing/2014/main" id="{364B9708-1FA8-47C8-959B-5C14B71B5D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536316</xdr:colOff>
      <xdr:row>41</xdr:row>
      <xdr:rowOff>46845</xdr:rowOff>
    </xdr:from>
    <xdr:to>
      <xdr:col>13</xdr:col>
      <xdr:colOff>202992</xdr:colOff>
      <xdr:row>55</xdr:row>
      <xdr:rowOff>166766</xdr:rowOff>
    </xdr:to>
    <xdr:graphicFrame macro="">
      <xdr:nvGraphicFramePr>
        <xdr:cNvPr id="29" name="Chart 28">
          <a:extLst>
            <a:ext uri="{FF2B5EF4-FFF2-40B4-BE49-F238E27FC236}">
              <a16:creationId xmlns:a16="http://schemas.microsoft.com/office/drawing/2014/main" id="{5EFDBF54-A25C-401F-AEBC-4A1E01AF13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34</xdr:col>
      <xdr:colOff>226891</xdr:colOff>
      <xdr:row>24</xdr:row>
      <xdr:rowOff>186738</xdr:rowOff>
    </xdr:from>
    <xdr:to>
      <xdr:col>48</xdr:col>
      <xdr:colOff>174948</xdr:colOff>
      <xdr:row>42</xdr:row>
      <xdr:rowOff>171124</xdr:rowOff>
    </xdr:to>
    <xdr:graphicFrame macro="">
      <xdr:nvGraphicFramePr>
        <xdr:cNvPr id="32" name="Chart 31">
          <a:extLst>
            <a:ext uri="{FF2B5EF4-FFF2-40B4-BE49-F238E27FC236}">
              <a16:creationId xmlns:a16="http://schemas.microsoft.com/office/drawing/2014/main" id="{DDF55190-56D4-4B7E-9CD1-0F9D461F38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34</xdr:col>
      <xdr:colOff>272143</xdr:colOff>
      <xdr:row>45</xdr:row>
      <xdr:rowOff>97196</xdr:rowOff>
    </xdr:from>
    <xdr:to>
      <xdr:col>48</xdr:col>
      <xdr:colOff>213827</xdr:colOff>
      <xdr:row>68</xdr:row>
      <xdr:rowOff>19440</xdr:rowOff>
    </xdr:to>
    <xdr:graphicFrame macro="">
      <xdr:nvGraphicFramePr>
        <xdr:cNvPr id="34" name="Chart 33">
          <a:extLst>
            <a:ext uri="{FF2B5EF4-FFF2-40B4-BE49-F238E27FC236}">
              <a16:creationId xmlns:a16="http://schemas.microsoft.com/office/drawing/2014/main" id="{91011672-9846-4B60-A5EC-4B62401F4A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30</xdr:row>
      <xdr:rowOff>97193</xdr:rowOff>
    </xdr:from>
    <xdr:to>
      <xdr:col>2</xdr:col>
      <xdr:colOff>558092</xdr:colOff>
      <xdr:row>40</xdr:row>
      <xdr:rowOff>136072</xdr:rowOff>
    </xdr:to>
    <mc:AlternateContent xmlns:mc="http://schemas.openxmlformats.org/markup-compatibility/2006">
      <mc:Choice xmlns:a14="http://schemas.microsoft.com/office/drawing/2010/main" Requires="a14">
        <xdr:graphicFrame macro="">
          <xdr:nvGraphicFramePr>
            <xdr:cNvPr id="39" name="Order Mode">
              <a:extLst>
                <a:ext uri="{FF2B5EF4-FFF2-40B4-BE49-F238E27FC236}">
                  <a16:creationId xmlns:a16="http://schemas.microsoft.com/office/drawing/2014/main" id="{94D73FC8-284D-477C-A137-6200B693BED4}"/>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dr:sp macro="" textlink="">
          <xdr:nvSpPr>
            <xdr:cNvPr id="0" name=""/>
            <xdr:cNvSpPr>
              <a:spLocks noTextEdit="1"/>
            </xdr:cNvSpPr>
          </xdr:nvSpPr>
          <xdr:spPr>
            <a:xfrm>
              <a:off x="0" y="5928826"/>
              <a:ext cx="2016000" cy="19827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5414</xdr:colOff>
      <xdr:row>25</xdr:row>
      <xdr:rowOff>136070</xdr:rowOff>
    </xdr:from>
    <xdr:to>
      <xdr:col>33</xdr:col>
      <xdr:colOff>38876</xdr:colOff>
      <xdr:row>69</xdr:row>
      <xdr:rowOff>0</xdr:rowOff>
    </xdr:to>
    <mc:AlternateContent xmlns:mc="http://schemas.openxmlformats.org/markup-compatibility/2006">
      <mc:Choice xmlns:cx4="http://schemas.microsoft.com/office/drawing/2016/5/10/chartex" Requires="cx4">
        <xdr:graphicFrame macro="">
          <xdr:nvGraphicFramePr>
            <xdr:cNvPr id="40" name="Chart 39">
              <a:extLst>
                <a:ext uri="{FF2B5EF4-FFF2-40B4-BE49-F238E27FC236}">
                  <a16:creationId xmlns:a16="http://schemas.microsoft.com/office/drawing/2014/main" id="{C60BF8BC-57C4-494E-8D2F-01A6764DBB8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12290720" y="4995764"/>
              <a:ext cx="7867289" cy="841699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26</xdr:col>
      <xdr:colOff>408214</xdr:colOff>
      <xdr:row>30</xdr:row>
      <xdr:rowOff>58317</xdr:rowOff>
    </xdr:from>
    <xdr:to>
      <xdr:col>30</xdr:col>
      <xdr:colOff>524846</xdr:colOff>
      <xdr:row>44</xdr:row>
      <xdr:rowOff>80089</xdr:rowOff>
    </xdr:to>
    <mc:AlternateContent xmlns:mc="http://schemas.openxmlformats.org/markup-compatibility/2006">
      <mc:Choice xmlns:cx4="http://schemas.microsoft.com/office/drawing/2016/5/10/chartex" Requires="cx4">
        <xdr:graphicFrame macro="">
          <xdr:nvGraphicFramePr>
            <xdr:cNvPr id="41" name="Chart 40">
              <a:extLst>
                <a:ext uri="{FF2B5EF4-FFF2-40B4-BE49-F238E27FC236}">
                  <a16:creationId xmlns:a16="http://schemas.microsoft.com/office/drawing/2014/main" id="{F8501772-9373-497A-9E33-7D8D8045083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6309132" y="5889950"/>
              <a:ext cx="2527041"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0</xdr:colOff>
      <xdr:row>44</xdr:row>
      <xdr:rowOff>58317</xdr:rowOff>
    </xdr:from>
    <xdr:to>
      <xdr:col>2</xdr:col>
      <xdr:colOff>544286</xdr:colOff>
      <xdr:row>58</xdr:row>
      <xdr:rowOff>3888</xdr:rowOff>
    </xdr:to>
    <mc:AlternateContent xmlns:mc="http://schemas.openxmlformats.org/markup-compatibility/2006">
      <mc:Choice xmlns:a14="http://schemas.microsoft.com/office/drawing/2010/main" Requires="a14">
        <xdr:graphicFrame macro="">
          <xdr:nvGraphicFramePr>
            <xdr:cNvPr id="43" name="Gender Value">
              <a:extLst>
                <a:ext uri="{FF2B5EF4-FFF2-40B4-BE49-F238E27FC236}">
                  <a16:creationId xmlns:a16="http://schemas.microsoft.com/office/drawing/2014/main" id="{90658116-86BC-4D43-B378-75FB8FEEA04B}"/>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dr:sp macro="" textlink="">
          <xdr:nvSpPr>
            <xdr:cNvPr id="0" name=""/>
            <xdr:cNvSpPr>
              <a:spLocks noTextEdit="1"/>
            </xdr:cNvSpPr>
          </xdr:nvSpPr>
          <xdr:spPr>
            <a:xfrm>
              <a:off x="0" y="8611378"/>
              <a:ext cx="2002194"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895350</xdr:colOff>
      <xdr:row>4</xdr:row>
      <xdr:rowOff>47625</xdr:rowOff>
    </xdr:from>
    <xdr:to>
      <xdr:col>6</xdr:col>
      <xdr:colOff>85725</xdr:colOff>
      <xdr:row>18</xdr:row>
      <xdr:rowOff>47625</xdr:rowOff>
    </xdr:to>
    <mc:AlternateContent xmlns:mc="http://schemas.openxmlformats.org/markup-compatibility/2006">
      <mc:Choice xmlns:a14="http://schemas.microsoft.com/office/drawing/2010/main" Requires="a14">
        <xdr:graphicFrame macro="">
          <xdr:nvGraphicFramePr>
            <xdr:cNvPr id="4" name="Customer Gender">
              <a:extLst>
                <a:ext uri="{FF2B5EF4-FFF2-40B4-BE49-F238E27FC236}">
                  <a16:creationId xmlns:a16="http://schemas.microsoft.com/office/drawing/2014/main" id="{DC493C29-5557-79CD-8E85-96B1C91F972B}"/>
                </a:ext>
              </a:extLst>
            </xdr:cNvPr>
            <xdr:cNvGraphicFramePr/>
          </xdr:nvGraphicFramePr>
          <xdr:xfrm>
            <a:off x="0" y="0"/>
            <a:ext cx="0" cy="0"/>
          </xdr:xfrm>
          <a:graphic>
            <a:graphicData uri="http://schemas.microsoft.com/office/drawing/2010/slicer">
              <sle:slicer xmlns:sle="http://schemas.microsoft.com/office/drawing/2010/slicer" name="Customer Gender"/>
            </a:graphicData>
          </a:graphic>
        </xdr:graphicFrame>
      </mc:Choice>
      <mc:Fallback>
        <xdr:sp macro="" textlink="">
          <xdr:nvSpPr>
            <xdr:cNvPr id="0" name=""/>
            <xdr:cNvSpPr>
              <a:spLocks noTextEdit="1"/>
            </xdr:cNvSpPr>
          </xdr:nvSpPr>
          <xdr:spPr>
            <a:xfrm>
              <a:off x="4743450" y="80962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0</xdr:colOff>
      <xdr:row>0</xdr:row>
      <xdr:rowOff>0</xdr:rowOff>
    </xdr:from>
    <xdr:to>
      <xdr:col>26</xdr:col>
      <xdr:colOff>0</xdr:colOff>
      <xdr:row>43</xdr:row>
      <xdr:rowOff>0</xdr:rowOff>
    </xdr:to>
    <xdr:sp macro="" textlink="">
      <xdr:nvSpPr>
        <xdr:cNvPr id="3" name="Rectangle 2">
          <a:extLst>
            <a:ext uri="{FF2B5EF4-FFF2-40B4-BE49-F238E27FC236}">
              <a16:creationId xmlns:a16="http://schemas.microsoft.com/office/drawing/2014/main" id="{512E711C-2A24-4D4D-87BA-83E9FC8B40D0}"/>
            </a:ext>
          </a:extLst>
        </xdr:cNvPr>
        <xdr:cNvSpPr/>
      </xdr:nvSpPr>
      <xdr:spPr>
        <a:xfrm>
          <a:off x="1981200" y="0"/>
          <a:ext cx="13258800" cy="7863840"/>
        </a:xfrm>
        <a:prstGeom prst="rect">
          <a:avLst/>
        </a:prstGeom>
        <a:solidFill>
          <a:schemeClr val="accent3">
            <a:lumMod val="20000"/>
            <a:lumOff val="80000"/>
          </a:schemeClr>
        </a:solidFill>
        <a:ln>
          <a:noFill/>
        </a:ln>
        <a:effectLst>
          <a:outerShdw blurRad="254000" dist="127000" algn="l"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9525</xdr:rowOff>
    </xdr:from>
    <xdr:to>
      <xdr:col>3</xdr:col>
      <xdr:colOff>0</xdr:colOff>
      <xdr:row>43</xdr:row>
      <xdr:rowOff>9525</xdr:rowOff>
    </xdr:to>
    <xdr:sp macro="" textlink="">
      <xdr:nvSpPr>
        <xdr:cNvPr id="2" name="Rectangle 1">
          <a:extLst>
            <a:ext uri="{FF2B5EF4-FFF2-40B4-BE49-F238E27FC236}">
              <a16:creationId xmlns:a16="http://schemas.microsoft.com/office/drawing/2014/main" id="{C0CF5D1E-2563-41D5-BA29-5EAAC61A9C34}"/>
            </a:ext>
          </a:extLst>
        </xdr:cNvPr>
        <xdr:cNvSpPr/>
      </xdr:nvSpPr>
      <xdr:spPr>
        <a:xfrm>
          <a:off x="0" y="9525"/>
          <a:ext cx="1924050" cy="8191500"/>
        </a:xfrm>
        <a:prstGeom prst="rect">
          <a:avLst/>
        </a:prstGeom>
        <a:solidFill>
          <a:schemeClr val="accent5">
            <a:lumMod val="50000"/>
          </a:schemeClr>
        </a:solidFill>
        <a:ln>
          <a:noFill/>
        </a:ln>
        <a:effectLst>
          <a:outerShdw blurRad="254000" dist="127000" algn="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206339</xdr:colOff>
      <xdr:row>0</xdr:row>
      <xdr:rowOff>101429</xdr:rowOff>
    </xdr:from>
    <xdr:to>
      <xdr:col>2</xdr:col>
      <xdr:colOff>0</xdr:colOff>
      <xdr:row>3</xdr:row>
      <xdr:rowOff>0</xdr:rowOff>
    </xdr:to>
    <xdr:pic>
      <xdr:nvPicPr>
        <xdr:cNvPr id="4" name="Picture 3">
          <a:extLst>
            <a:ext uri="{FF2B5EF4-FFF2-40B4-BE49-F238E27FC236}">
              <a16:creationId xmlns:a16="http://schemas.microsoft.com/office/drawing/2014/main" id="{687DA6DE-9337-4C9B-AF91-2F77566903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06339" y="101429"/>
          <a:ext cx="1546261" cy="447211"/>
        </a:xfrm>
        <a:prstGeom prst="rect">
          <a:avLst/>
        </a:prstGeom>
      </xdr:spPr>
    </xdr:pic>
    <xdr:clientData/>
  </xdr:twoCellAnchor>
  <xdr:twoCellAnchor editAs="oneCell">
    <xdr:from>
      <xdr:col>22</xdr:col>
      <xdr:colOff>304800</xdr:colOff>
      <xdr:row>1</xdr:row>
      <xdr:rowOff>0</xdr:rowOff>
    </xdr:from>
    <xdr:to>
      <xdr:col>25</xdr:col>
      <xdr:colOff>0</xdr:colOff>
      <xdr:row>3</xdr:row>
      <xdr:rowOff>67829</xdr:rowOff>
    </xdr:to>
    <xdr:pic>
      <xdr:nvPicPr>
        <xdr:cNvPr id="6" name="Picture 5">
          <a:hlinkClick xmlns:r="http://schemas.openxmlformats.org/officeDocument/2006/relationships" r:id="rId2"/>
          <a:extLst>
            <a:ext uri="{FF2B5EF4-FFF2-40B4-BE49-F238E27FC236}">
              <a16:creationId xmlns:a16="http://schemas.microsoft.com/office/drawing/2014/main" id="{46E40EAC-D019-CE2B-01E2-EC0A7137278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3487400" y="182880"/>
          <a:ext cx="1524000" cy="43358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4</xdr:col>
      <xdr:colOff>324130</xdr:colOff>
      <xdr:row>3</xdr:row>
      <xdr:rowOff>76322</xdr:rowOff>
    </xdr:to>
    <xdr:pic>
      <xdr:nvPicPr>
        <xdr:cNvPr id="2" name="Picture 1">
          <a:extLst>
            <a:ext uri="{FF2B5EF4-FFF2-40B4-BE49-F238E27FC236}">
              <a16:creationId xmlns:a16="http://schemas.microsoft.com/office/drawing/2014/main" id="{113BF637-9F8C-404F-8B9A-8AB22E64E9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219200" y="182880"/>
          <a:ext cx="1543330" cy="442082"/>
        </a:xfrm>
        <a:prstGeom prst="rect">
          <a:avLst/>
        </a:prstGeom>
      </xdr:spPr>
    </xdr:pic>
    <xdr:clientData/>
  </xdr:twoCellAnchor>
  <xdr:twoCellAnchor editAs="oneCell">
    <xdr:from>
      <xdr:col>1</xdr:col>
      <xdr:colOff>0</xdr:colOff>
      <xdr:row>27</xdr:row>
      <xdr:rowOff>0</xdr:rowOff>
    </xdr:from>
    <xdr:to>
      <xdr:col>3</xdr:col>
      <xdr:colOff>304800</xdr:colOff>
      <xdr:row>29</xdr:row>
      <xdr:rowOff>67829</xdr:rowOff>
    </xdr:to>
    <xdr:pic>
      <xdr:nvPicPr>
        <xdr:cNvPr id="3" name="Picture 2">
          <a:hlinkClick xmlns:r="http://schemas.openxmlformats.org/officeDocument/2006/relationships" r:id="rId2"/>
          <a:extLst>
            <a:ext uri="{FF2B5EF4-FFF2-40B4-BE49-F238E27FC236}">
              <a16:creationId xmlns:a16="http://schemas.microsoft.com/office/drawing/2014/main" id="{602BB025-83F9-4955-BC88-7D277D7994E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28600" y="4937760"/>
          <a:ext cx="1524000" cy="433589"/>
        </a:xfrm>
        <a:prstGeom prst="rect">
          <a:avLst/>
        </a:prstGeom>
      </xdr:spPr>
    </xdr:pic>
    <xdr:clientData/>
  </xdr:twoCellAnchor>
  <xdr:twoCellAnchor editAs="oneCell">
    <xdr:from>
      <xdr:col>7</xdr:col>
      <xdr:colOff>1</xdr:colOff>
      <xdr:row>7</xdr:row>
      <xdr:rowOff>1</xdr:rowOff>
    </xdr:from>
    <xdr:to>
      <xdr:col>8</xdr:col>
      <xdr:colOff>1</xdr:colOff>
      <xdr:row>21</xdr:row>
      <xdr:rowOff>1</xdr:rowOff>
    </xdr:to>
    <xdr:pic>
      <xdr:nvPicPr>
        <xdr:cNvPr id="5" name="Picture 4">
          <a:hlinkClick xmlns:r="http://schemas.openxmlformats.org/officeDocument/2006/relationships" r:id="rId4"/>
          <a:extLst>
            <a:ext uri="{FF2B5EF4-FFF2-40B4-BE49-F238E27FC236}">
              <a16:creationId xmlns:a16="http://schemas.microsoft.com/office/drawing/2014/main" id="{87527581-9CC7-32E2-D643-E625DB568FAF}"/>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86201" y="1280161"/>
          <a:ext cx="2560320" cy="256032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234.442922685186" createdVersion="8" refreshedVersion="8" minRefreshableVersion="3" recordCount="2400" xr:uid="{1A161CD9-578F-4B04-89F6-CE92D384799B}">
  <cacheSource type="worksheet">
    <worksheetSource name="orders"/>
  </cacheSource>
  <cacheFields count="18">
    <cacheField name="TX ID" numFmtId="0">
      <sharedItems count="2400">
        <s v="TX500001"/>
        <s v="TX500002"/>
        <s v="TX500003"/>
        <s v="TX500004"/>
        <s v="TX500005"/>
        <s v="TX500006"/>
        <s v="TX500007"/>
        <s v="TX500008"/>
        <s v="TX500009"/>
        <s v="TX500010"/>
        <s v="TX500011"/>
        <s v="TX500012"/>
        <s v="TX500013"/>
        <s v="TX500014"/>
        <s v="TX500015"/>
        <s v="TX500016"/>
        <s v="TX500017"/>
        <s v="TX500018"/>
        <s v="TX500019"/>
        <s v="TX500020"/>
        <s v="TX500021"/>
        <s v="TX500022"/>
        <s v="TX500023"/>
        <s v="TX500024"/>
        <s v="TX500025"/>
        <s v="TX500026"/>
        <s v="TX500027"/>
        <s v="TX500028"/>
        <s v="TX500029"/>
        <s v="TX500030"/>
        <s v="TX500031"/>
        <s v="TX500032"/>
        <s v="TX500033"/>
        <s v="TX500034"/>
        <s v="TX500035"/>
        <s v="TX500036"/>
        <s v="TX500037"/>
        <s v="TX500038"/>
        <s v="TX500039"/>
        <s v="TX500040"/>
        <s v="TX500041"/>
        <s v="TX500042"/>
        <s v="TX500043"/>
        <s v="TX500044"/>
        <s v="TX500045"/>
        <s v="TX500046"/>
        <s v="TX500047"/>
        <s v="TX500048"/>
        <s v="TX500049"/>
        <s v="TX500050"/>
        <s v="TX500051"/>
        <s v="TX500052"/>
        <s v="TX500053"/>
        <s v="TX500054"/>
        <s v="TX500055"/>
        <s v="TX500056"/>
        <s v="TX500057"/>
        <s v="TX500058"/>
        <s v="TX500059"/>
        <s v="TX500060"/>
        <s v="TX500061"/>
        <s v="TX500062"/>
        <s v="TX500063"/>
        <s v="TX500064"/>
        <s v="TX500065"/>
        <s v="TX500066"/>
        <s v="TX500067"/>
        <s v="TX500068"/>
        <s v="TX500069"/>
        <s v="TX500070"/>
        <s v="TX500071"/>
        <s v="TX500072"/>
        <s v="TX500073"/>
        <s v="TX500074"/>
        <s v="TX500075"/>
        <s v="TX500076"/>
        <s v="TX500077"/>
        <s v="TX500078"/>
        <s v="TX500079"/>
        <s v="TX500080"/>
        <s v="TX500081"/>
        <s v="TX500082"/>
        <s v="TX500083"/>
        <s v="TX500084"/>
        <s v="TX500085"/>
        <s v="TX500086"/>
        <s v="TX500087"/>
        <s v="TX500088"/>
        <s v="TX500089"/>
        <s v="TX500090"/>
        <s v="TX500091"/>
        <s v="TX500092"/>
        <s v="TX500093"/>
        <s v="TX500094"/>
        <s v="TX500095"/>
        <s v="TX500096"/>
        <s v="TX500097"/>
        <s v="TX500098"/>
        <s v="TX500099"/>
        <s v="TX500100"/>
        <s v="TX500101"/>
        <s v="TX500102"/>
        <s v="TX500103"/>
        <s v="TX500104"/>
        <s v="TX500105"/>
        <s v="TX500106"/>
        <s v="TX500107"/>
        <s v="TX500108"/>
        <s v="TX500109"/>
        <s v="TX500110"/>
        <s v="TX500111"/>
        <s v="TX500112"/>
        <s v="TX500113"/>
        <s v="TX500114"/>
        <s v="TX500115"/>
        <s v="TX500116"/>
        <s v="TX500117"/>
        <s v="TX500118"/>
        <s v="TX500119"/>
        <s v="TX500120"/>
        <s v="TX500121"/>
        <s v="TX500122"/>
        <s v="TX500123"/>
        <s v="TX500124"/>
        <s v="TX500125"/>
        <s v="TX500126"/>
        <s v="TX500127"/>
        <s v="TX500128"/>
        <s v="TX500129"/>
        <s v="TX500130"/>
        <s v="TX500131"/>
        <s v="TX500132"/>
        <s v="TX500133"/>
        <s v="TX500134"/>
        <s v="TX500135"/>
        <s v="TX500136"/>
        <s v="TX500137"/>
        <s v="TX500138"/>
        <s v="TX500139"/>
        <s v="TX500140"/>
        <s v="TX500141"/>
        <s v="TX500142"/>
        <s v="TX500143"/>
        <s v="TX500144"/>
        <s v="TX500145"/>
        <s v="TX500146"/>
        <s v="TX500147"/>
        <s v="TX500148"/>
        <s v="TX500149"/>
        <s v="TX500150"/>
        <s v="TX500151"/>
        <s v="TX500152"/>
        <s v="TX500153"/>
        <s v="TX500154"/>
        <s v="TX500155"/>
        <s v="TX500156"/>
        <s v="TX500157"/>
        <s v="TX500158"/>
        <s v="TX500159"/>
        <s v="TX500160"/>
        <s v="TX500161"/>
        <s v="TX500162"/>
        <s v="TX500163"/>
        <s v="TX500164"/>
        <s v="TX500165"/>
        <s v="TX500166"/>
        <s v="TX500167"/>
        <s v="TX500168"/>
        <s v="TX500169"/>
        <s v="TX500170"/>
        <s v="TX500171"/>
        <s v="TX500172"/>
        <s v="TX500173"/>
        <s v="TX500174"/>
        <s v="TX500175"/>
        <s v="TX500176"/>
        <s v="TX500177"/>
        <s v="TX500178"/>
        <s v="TX500179"/>
        <s v="TX500180"/>
        <s v="TX500181"/>
        <s v="TX500182"/>
        <s v="TX500183"/>
        <s v="TX500184"/>
        <s v="TX500185"/>
        <s v="TX500186"/>
        <s v="TX500187"/>
        <s v="TX500188"/>
        <s v="TX500189"/>
        <s v="TX500190"/>
        <s v="TX500191"/>
        <s v="TX500192"/>
        <s v="TX500193"/>
        <s v="TX500194"/>
        <s v="TX500195"/>
        <s v="TX500196"/>
        <s v="TX500197"/>
        <s v="TX500198"/>
        <s v="TX500199"/>
        <s v="TX500200"/>
        <s v="TX500201"/>
        <s v="TX500202"/>
        <s v="TX500203"/>
        <s v="TX500204"/>
        <s v="TX500205"/>
        <s v="TX500206"/>
        <s v="TX500207"/>
        <s v="TX500208"/>
        <s v="TX500209"/>
        <s v="TX500210"/>
        <s v="TX500211"/>
        <s v="TX500212"/>
        <s v="TX500213"/>
        <s v="TX500214"/>
        <s v="TX500215"/>
        <s v="TX500216"/>
        <s v="TX500217"/>
        <s v="TX500218"/>
        <s v="TX500219"/>
        <s v="TX500220"/>
        <s v="TX500221"/>
        <s v="TX500222"/>
        <s v="TX500223"/>
        <s v="TX500224"/>
        <s v="TX500225"/>
        <s v="TX500226"/>
        <s v="TX500227"/>
        <s v="TX500228"/>
        <s v="TX500229"/>
        <s v="TX500230"/>
        <s v="TX500231"/>
        <s v="TX500232"/>
        <s v="TX500233"/>
        <s v="TX500234"/>
        <s v="TX500235"/>
        <s v="TX500236"/>
        <s v="TX500237"/>
        <s v="TX500238"/>
        <s v="TX500239"/>
        <s v="TX500240"/>
        <s v="TX500241"/>
        <s v="TX500242"/>
        <s v="TX500243"/>
        <s v="TX500244"/>
        <s v="TX500245"/>
        <s v="TX500246"/>
        <s v="TX500247"/>
        <s v="TX500248"/>
        <s v="TX500249"/>
        <s v="TX500250"/>
        <s v="TX500251"/>
        <s v="TX500252"/>
        <s v="TX500253"/>
        <s v="TX500254"/>
        <s v="TX500255"/>
        <s v="TX500256"/>
        <s v="TX500257"/>
        <s v="TX500258"/>
        <s v="TX500259"/>
        <s v="TX500260"/>
        <s v="TX500261"/>
        <s v="TX500262"/>
        <s v="TX500263"/>
        <s v="TX500264"/>
        <s v="TX500265"/>
        <s v="TX500266"/>
        <s v="TX500267"/>
        <s v="TX500268"/>
        <s v="TX500269"/>
        <s v="TX500270"/>
        <s v="TX500271"/>
        <s v="TX500272"/>
        <s v="TX500273"/>
        <s v="TX500274"/>
        <s v="TX500275"/>
        <s v="TX500276"/>
        <s v="TX500277"/>
        <s v="TX500278"/>
        <s v="TX500279"/>
        <s v="TX500280"/>
        <s v="TX500281"/>
        <s v="TX500282"/>
        <s v="TX500283"/>
        <s v="TX500284"/>
        <s v="TX500285"/>
        <s v="TX500286"/>
        <s v="TX500287"/>
        <s v="TX500288"/>
        <s v="TX500289"/>
        <s v="TX500290"/>
        <s v="TX500291"/>
        <s v="TX500292"/>
        <s v="TX500293"/>
        <s v="TX500294"/>
        <s v="TX500295"/>
        <s v="TX500296"/>
        <s v="TX500297"/>
        <s v="TX500298"/>
        <s v="TX500299"/>
        <s v="TX500300"/>
        <s v="TX500301"/>
        <s v="TX500302"/>
        <s v="TX500303"/>
        <s v="TX500304"/>
        <s v="TX500305"/>
        <s v="TX500306"/>
        <s v="TX500307"/>
        <s v="TX500308"/>
        <s v="TX500309"/>
        <s v="TX500310"/>
        <s v="TX500311"/>
        <s v="TX500312"/>
        <s v="TX500313"/>
        <s v="TX500314"/>
        <s v="TX500315"/>
        <s v="TX500316"/>
        <s v="TX500317"/>
        <s v="TX500318"/>
        <s v="TX500319"/>
        <s v="TX500320"/>
        <s v="TX500321"/>
        <s v="TX500322"/>
        <s v="TX500323"/>
        <s v="TX500324"/>
        <s v="TX500325"/>
        <s v="TX500326"/>
        <s v="TX500327"/>
        <s v="TX500328"/>
        <s v="TX500329"/>
        <s v="TX500330"/>
        <s v="TX500331"/>
        <s v="TX500332"/>
        <s v="TX500333"/>
        <s v="TX500334"/>
        <s v="TX500335"/>
        <s v="TX500336"/>
        <s v="TX500337"/>
        <s v="TX500338"/>
        <s v="TX500339"/>
        <s v="TX500340"/>
        <s v="TX500341"/>
        <s v="TX500342"/>
        <s v="TX500343"/>
        <s v="TX500344"/>
        <s v="TX500345"/>
        <s v="TX500346"/>
        <s v="TX500347"/>
        <s v="TX500348"/>
        <s v="TX500349"/>
        <s v="TX500350"/>
        <s v="TX500351"/>
        <s v="TX500352"/>
        <s v="TX500353"/>
        <s v="TX500354"/>
        <s v="TX500355"/>
        <s v="TX500356"/>
        <s v="TX500357"/>
        <s v="TX500358"/>
        <s v="TX500359"/>
        <s v="TX500360"/>
        <s v="TX500361"/>
        <s v="TX500362"/>
        <s v="TX500363"/>
        <s v="TX500364"/>
        <s v="TX500365"/>
        <s v="TX500366"/>
        <s v="TX500367"/>
        <s v="TX500368"/>
        <s v="TX500369"/>
        <s v="TX500370"/>
        <s v="TX500371"/>
        <s v="TX500372"/>
        <s v="TX500373"/>
        <s v="TX500374"/>
        <s v="TX500375"/>
        <s v="TX500376"/>
        <s v="TX500377"/>
        <s v="TX500378"/>
        <s v="TX500379"/>
        <s v="TX500380"/>
        <s v="TX500381"/>
        <s v="TX500382"/>
        <s v="TX500383"/>
        <s v="TX500384"/>
        <s v="TX500385"/>
        <s v="TX500386"/>
        <s v="TX500387"/>
        <s v="TX500388"/>
        <s v="TX500389"/>
        <s v="TX500390"/>
        <s v="TX500391"/>
        <s v="TX500392"/>
        <s v="TX500393"/>
        <s v="TX500394"/>
        <s v="TX500395"/>
        <s v="TX500396"/>
        <s v="TX500397"/>
        <s v="TX500398"/>
        <s v="TX500399"/>
        <s v="TX500400"/>
        <s v="TX500401"/>
        <s v="TX500402"/>
        <s v="TX500403"/>
        <s v="TX500404"/>
        <s v="TX500405"/>
        <s v="TX500406"/>
        <s v="TX500407"/>
        <s v="TX500408"/>
        <s v="TX500409"/>
        <s v="TX500410"/>
        <s v="TX500411"/>
        <s v="TX500412"/>
        <s v="TX500413"/>
        <s v="TX500414"/>
        <s v="TX500415"/>
        <s v="TX500416"/>
        <s v="TX500417"/>
        <s v="TX500418"/>
        <s v="TX500419"/>
        <s v="TX500420"/>
        <s v="TX500421"/>
        <s v="TX500422"/>
        <s v="TX500423"/>
        <s v="TX500424"/>
        <s v="TX500425"/>
        <s v="TX500426"/>
        <s v="TX500427"/>
        <s v="TX500428"/>
        <s v="TX500429"/>
        <s v="TX500430"/>
        <s v="TX500431"/>
        <s v="TX500432"/>
        <s v="TX500433"/>
        <s v="TX500434"/>
        <s v="TX500435"/>
        <s v="TX500436"/>
        <s v="TX500437"/>
        <s v="TX500438"/>
        <s v="TX500439"/>
        <s v="TX500440"/>
        <s v="TX500441"/>
        <s v="TX500442"/>
        <s v="TX500443"/>
        <s v="TX500444"/>
        <s v="TX500445"/>
        <s v="TX500446"/>
        <s v="TX500447"/>
        <s v="TX500448"/>
        <s v="TX500449"/>
        <s v="TX500450"/>
        <s v="TX500451"/>
        <s v="TX500452"/>
        <s v="TX500453"/>
        <s v="TX500454"/>
        <s v="TX500455"/>
        <s v="TX500456"/>
        <s v="TX500457"/>
        <s v="TX500458"/>
        <s v="TX500459"/>
        <s v="TX500460"/>
        <s v="TX500461"/>
        <s v="TX500462"/>
        <s v="TX500463"/>
        <s v="TX500464"/>
        <s v="TX500465"/>
        <s v="TX500466"/>
        <s v="TX500467"/>
        <s v="TX500468"/>
        <s v="TX500469"/>
        <s v="TX500470"/>
        <s v="TX500471"/>
        <s v="TX500472"/>
        <s v="TX500473"/>
        <s v="TX500474"/>
        <s v="TX500475"/>
        <s v="TX500476"/>
        <s v="TX500477"/>
        <s v="TX500478"/>
        <s v="TX500479"/>
        <s v="TX500480"/>
        <s v="TX500481"/>
        <s v="TX500482"/>
        <s v="TX500483"/>
        <s v="TX500484"/>
        <s v="TX500485"/>
        <s v="TX500486"/>
        <s v="TX500487"/>
        <s v="TX500488"/>
        <s v="TX500489"/>
        <s v="TX500490"/>
        <s v="TX500491"/>
        <s v="TX500492"/>
        <s v="TX500493"/>
        <s v="TX500494"/>
        <s v="TX500495"/>
        <s v="TX500496"/>
        <s v="TX500497"/>
        <s v="TX500498"/>
        <s v="TX500499"/>
        <s v="TX500500"/>
        <s v="TX500501"/>
        <s v="TX500502"/>
        <s v="TX500503"/>
        <s v="TX500504"/>
        <s v="TX500505"/>
        <s v="TX500506"/>
        <s v="TX500507"/>
        <s v="TX500508"/>
        <s v="TX500509"/>
        <s v="TX500510"/>
        <s v="TX500511"/>
        <s v="TX500512"/>
        <s v="TX500513"/>
        <s v="TX500514"/>
        <s v="TX500515"/>
        <s v="TX500516"/>
        <s v="TX500517"/>
        <s v="TX500518"/>
        <s v="TX500519"/>
        <s v="TX500520"/>
        <s v="TX500521"/>
        <s v="TX500522"/>
        <s v="TX500523"/>
        <s v="TX500524"/>
        <s v="TX500525"/>
        <s v="TX500526"/>
        <s v="TX500527"/>
        <s v="TX500528"/>
        <s v="TX500529"/>
        <s v="TX500530"/>
        <s v="TX500531"/>
        <s v="TX500532"/>
        <s v="TX500533"/>
        <s v="TX500534"/>
        <s v="TX500535"/>
        <s v="TX500536"/>
        <s v="TX500537"/>
        <s v="TX500538"/>
        <s v="TX500539"/>
        <s v="TX500540"/>
        <s v="TX500541"/>
        <s v="TX500542"/>
        <s v="TX500543"/>
        <s v="TX500544"/>
        <s v="TX500545"/>
        <s v="TX500546"/>
        <s v="TX500547"/>
        <s v="TX500548"/>
        <s v="TX500549"/>
        <s v="TX500550"/>
        <s v="TX500551"/>
        <s v="TX500552"/>
        <s v="TX500553"/>
        <s v="TX500554"/>
        <s v="TX500555"/>
        <s v="TX500556"/>
        <s v="TX500557"/>
        <s v="TX500558"/>
        <s v="TX500559"/>
        <s v="TX500560"/>
        <s v="TX500561"/>
        <s v="TX500562"/>
        <s v="TX500563"/>
        <s v="TX500564"/>
        <s v="TX500565"/>
        <s v="TX500566"/>
        <s v="TX500567"/>
        <s v="TX500568"/>
        <s v="TX500569"/>
        <s v="TX500570"/>
        <s v="TX500571"/>
        <s v="TX500572"/>
        <s v="TX500573"/>
        <s v="TX500574"/>
        <s v="TX500575"/>
        <s v="TX500576"/>
        <s v="TX500577"/>
        <s v="TX500578"/>
        <s v="TX500579"/>
        <s v="TX500580"/>
        <s v="TX500581"/>
        <s v="TX500582"/>
        <s v="TX500583"/>
        <s v="TX500584"/>
        <s v="TX500585"/>
        <s v="TX500586"/>
        <s v="TX500587"/>
        <s v="TX500588"/>
        <s v="TX500589"/>
        <s v="TX500590"/>
        <s v="TX500591"/>
        <s v="TX500592"/>
        <s v="TX500593"/>
        <s v="TX500594"/>
        <s v="TX500595"/>
        <s v="TX500596"/>
        <s v="TX500597"/>
        <s v="TX500598"/>
        <s v="TX500599"/>
        <s v="TX500600"/>
        <s v="TX500601"/>
        <s v="TX500602"/>
        <s v="TX500603"/>
        <s v="TX500604"/>
        <s v="TX500605"/>
        <s v="TX500606"/>
        <s v="TX500607"/>
        <s v="TX500608"/>
        <s v="TX500609"/>
        <s v="TX500610"/>
        <s v="TX500611"/>
        <s v="TX500612"/>
        <s v="TX500613"/>
        <s v="TX500614"/>
        <s v="TX500615"/>
        <s v="TX500616"/>
        <s v="TX500617"/>
        <s v="TX500618"/>
        <s v="TX500619"/>
        <s v="TX500620"/>
        <s v="TX500621"/>
        <s v="TX500622"/>
        <s v="TX500623"/>
        <s v="TX500624"/>
        <s v="TX500625"/>
        <s v="TX500626"/>
        <s v="TX500627"/>
        <s v="TX500628"/>
        <s v="TX500629"/>
        <s v="TX500630"/>
        <s v="TX500631"/>
        <s v="TX500632"/>
        <s v="TX500633"/>
        <s v="TX500634"/>
        <s v="TX500635"/>
        <s v="TX500636"/>
        <s v="TX500637"/>
        <s v="TX500638"/>
        <s v="TX500639"/>
        <s v="TX500640"/>
        <s v="TX500641"/>
        <s v="TX500642"/>
        <s v="TX500643"/>
        <s v="TX500644"/>
        <s v="TX500645"/>
        <s v="TX500646"/>
        <s v="TX500647"/>
        <s v="TX500648"/>
        <s v="TX500649"/>
        <s v="TX500650"/>
        <s v="TX500651"/>
        <s v="TX500652"/>
        <s v="TX500653"/>
        <s v="TX500654"/>
        <s v="TX500655"/>
        <s v="TX500656"/>
        <s v="TX500657"/>
        <s v="TX500658"/>
        <s v="TX500659"/>
        <s v="TX500660"/>
        <s v="TX500661"/>
        <s v="TX500662"/>
        <s v="TX500663"/>
        <s v="TX500664"/>
        <s v="TX500665"/>
        <s v="TX500666"/>
        <s v="TX500667"/>
        <s v="TX500668"/>
        <s v="TX500669"/>
        <s v="TX500670"/>
        <s v="TX500671"/>
        <s v="TX500672"/>
        <s v="TX500673"/>
        <s v="TX500674"/>
        <s v="TX500675"/>
        <s v="TX500676"/>
        <s v="TX500677"/>
        <s v="TX500678"/>
        <s v="TX500679"/>
        <s v="TX500680"/>
        <s v="TX500681"/>
        <s v="TX500682"/>
        <s v="TX500683"/>
        <s v="TX500684"/>
        <s v="TX500685"/>
        <s v="TX500686"/>
        <s v="TX500687"/>
        <s v="TX500688"/>
        <s v="TX500689"/>
        <s v="TX500690"/>
        <s v="TX500691"/>
        <s v="TX500692"/>
        <s v="TX500693"/>
        <s v="TX500694"/>
        <s v="TX500695"/>
        <s v="TX500696"/>
        <s v="TX500697"/>
        <s v="TX500698"/>
        <s v="TX500699"/>
        <s v="TX500700"/>
        <s v="TX500701"/>
        <s v="TX500702"/>
        <s v="TX500703"/>
        <s v="TX500704"/>
        <s v="TX500705"/>
        <s v="TX500706"/>
        <s v="TX500707"/>
        <s v="TX500708"/>
        <s v="TX500709"/>
        <s v="TX500710"/>
        <s v="TX500711"/>
        <s v="TX500712"/>
        <s v="TX500713"/>
        <s v="TX500714"/>
        <s v="TX500715"/>
        <s v="TX500716"/>
        <s v="TX500717"/>
        <s v="TX500718"/>
        <s v="TX500719"/>
        <s v="TX500720"/>
        <s v="TX500721"/>
        <s v="TX500722"/>
        <s v="TX500723"/>
        <s v="TX500724"/>
        <s v="TX500725"/>
        <s v="TX500726"/>
        <s v="TX500727"/>
        <s v="TX500728"/>
        <s v="TX500729"/>
        <s v="TX500730"/>
        <s v="TX500731"/>
        <s v="TX500732"/>
        <s v="TX500733"/>
        <s v="TX500734"/>
        <s v="TX500735"/>
        <s v="TX500736"/>
        <s v="TX500737"/>
        <s v="TX500738"/>
        <s v="TX500739"/>
        <s v="TX500740"/>
        <s v="TX500741"/>
        <s v="TX500742"/>
        <s v="TX500743"/>
        <s v="TX500744"/>
        <s v="TX500745"/>
        <s v="TX500746"/>
        <s v="TX500747"/>
        <s v="TX500748"/>
        <s v="TX500749"/>
        <s v="TX500750"/>
        <s v="TX500751"/>
        <s v="TX500752"/>
        <s v="TX500753"/>
        <s v="TX500754"/>
        <s v="TX500755"/>
        <s v="TX500756"/>
        <s v="TX500757"/>
        <s v="TX500758"/>
        <s v="TX500759"/>
        <s v="TX500760"/>
        <s v="TX500761"/>
        <s v="TX500762"/>
        <s v="TX500763"/>
        <s v="TX500764"/>
        <s v="TX500765"/>
        <s v="TX500766"/>
        <s v="TX500767"/>
        <s v="TX500768"/>
        <s v="TX500769"/>
        <s v="TX500770"/>
        <s v="TX500771"/>
        <s v="TX500772"/>
        <s v="TX500773"/>
        <s v="TX500774"/>
        <s v="TX500775"/>
        <s v="TX500776"/>
        <s v="TX500777"/>
        <s v="TX500778"/>
        <s v="TX500779"/>
        <s v="TX500780"/>
        <s v="TX500781"/>
        <s v="TX500782"/>
        <s v="TX500783"/>
        <s v="TX500784"/>
        <s v="TX500785"/>
        <s v="TX500786"/>
        <s v="TX500787"/>
        <s v="TX500788"/>
        <s v="TX500789"/>
        <s v="TX500790"/>
        <s v="TX500791"/>
        <s v="TX500792"/>
        <s v="TX500793"/>
        <s v="TX500794"/>
        <s v="TX500795"/>
        <s v="TX500796"/>
        <s v="TX500797"/>
        <s v="TX500798"/>
        <s v="TX500799"/>
        <s v="TX500800"/>
        <s v="TX500801"/>
        <s v="TX500802"/>
        <s v="TX500803"/>
        <s v="TX500804"/>
        <s v="TX500805"/>
        <s v="TX500806"/>
        <s v="TX500807"/>
        <s v="TX500808"/>
        <s v="TX500809"/>
        <s v="TX500810"/>
        <s v="TX500811"/>
        <s v="TX500812"/>
        <s v="TX500813"/>
        <s v="TX500814"/>
        <s v="TX500815"/>
        <s v="TX500816"/>
        <s v="TX500817"/>
        <s v="TX500818"/>
        <s v="TX500819"/>
        <s v="TX500820"/>
        <s v="TX500821"/>
        <s v="TX500822"/>
        <s v="TX500823"/>
        <s v="TX500824"/>
        <s v="TX500825"/>
        <s v="TX500826"/>
        <s v="TX500827"/>
        <s v="TX500828"/>
        <s v="TX500829"/>
        <s v="TX500830"/>
        <s v="TX500831"/>
        <s v="TX500832"/>
        <s v="TX500833"/>
        <s v="TX500834"/>
        <s v="TX500835"/>
        <s v="TX500836"/>
        <s v="TX500837"/>
        <s v="TX500838"/>
        <s v="TX500839"/>
        <s v="TX500840"/>
        <s v="TX500841"/>
        <s v="TX500842"/>
        <s v="TX500843"/>
        <s v="TX500844"/>
        <s v="TX500845"/>
        <s v="TX500846"/>
        <s v="TX500847"/>
        <s v="TX500848"/>
        <s v="TX500849"/>
        <s v="TX500850"/>
        <s v="TX500851"/>
        <s v="TX500852"/>
        <s v="TX500853"/>
        <s v="TX500854"/>
        <s v="TX500855"/>
        <s v="TX500856"/>
        <s v="TX500857"/>
        <s v="TX500858"/>
        <s v="TX500859"/>
        <s v="TX500860"/>
        <s v="TX500861"/>
        <s v="TX500862"/>
        <s v="TX500863"/>
        <s v="TX500864"/>
        <s v="TX500865"/>
        <s v="TX500866"/>
        <s v="TX500867"/>
        <s v="TX500868"/>
        <s v="TX500869"/>
        <s v="TX500870"/>
        <s v="TX500871"/>
        <s v="TX500872"/>
        <s v="TX500873"/>
        <s v="TX500874"/>
        <s v="TX500875"/>
        <s v="TX500876"/>
        <s v="TX500877"/>
        <s v="TX500878"/>
        <s v="TX500879"/>
        <s v="TX500880"/>
        <s v="TX500881"/>
        <s v="TX500882"/>
        <s v="TX500883"/>
        <s v="TX500884"/>
        <s v="TX500885"/>
        <s v="TX500886"/>
        <s v="TX500887"/>
        <s v="TX500888"/>
        <s v="TX500889"/>
        <s v="TX500890"/>
        <s v="TX500891"/>
        <s v="TX500892"/>
        <s v="TX500893"/>
        <s v="TX500894"/>
        <s v="TX500895"/>
        <s v="TX500896"/>
        <s v="TX500897"/>
        <s v="TX500898"/>
        <s v="TX500899"/>
        <s v="TX500900"/>
        <s v="TX500901"/>
        <s v="TX500902"/>
        <s v="TX500903"/>
        <s v="TX500904"/>
        <s v="TX500905"/>
        <s v="TX500906"/>
        <s v="TX500907"/>
        <s v="TX500908"/>
        <s v="TX500909"/>
        <s v="TX500910"/>
        <s v="TX500911"/>
        <s v="TX500912"/>
        <s v="TX500913"/>
        <s v="TX500914"/>
        <s v="TX500915"/>
        <s v="TX500916"/>
        <s v="TX500917"/>
        <s v="TX500918"/>
        <s v="TX500919"/>
        <s v="TX500920"/>
        <s v="TX500921"/>
        <s v="TX500922"/>
        <s v="TX500923"/>
        <s v="TX500924"/>
        <s v="TX500925"/>
        <s v="TX500926"/>
        <s v="TX500927"/>
        <s v="TX500928"/>
        <s v="TX500929"/>
        <s v="TX500930"/>
        <s v="TX500931"/>
        <s v="TX500932"/>
        <s v="TX500933"/>
        <s v="TX500934"/>
        <s v="TX500935"/>
        <s v="TX500936"/>
        <s v="TX500937"/>
        <s v="TX500938"/>
        <s v="TX500939"/>
        <s v="TX500940"/>
        <s v="TX500941"/>
        <s v="TX500942"/>
        <s v="TX500943"/>
        <s v="TX500944"/>
        <s v="TX500945"/>
        <s v="TX500946"/>
        <s v="TX500947"/>
        <s v="TX500948"/>
        <s v="TX500949"/>
        <s v="TX500950"/>
        <s v="TX500951"/>
        <s v="TX500952"/>
        <s v="TX500953"/>
        <s v="TX500954"/>
        <s v="TX500955"/>
        <s v="TX500956"/>
        <s v="TX500957"/>
        <s v="TX500958"/>
        <s v="TX500959"/>
        <s v="TX500960"/>
        <s v="TX500961"/>
        <s v="TX500962"/>
        <s v="TX500963"/>
        <s v="TX500964"/>
        <s v="TX500965"/>
        <s v="TX500966"/>
        <s v="TX500967"/>
        <s v="TX500968"/>
        <s v="TX500969"/>
        <s v="TX500970"/>
        <s v="TX500971"/>
        <s v="TX500972"/>
        <s v="TX500973"/>
        <s v="TX500974"/>
        <s v="TX500975"/>
        <s v="TX500976"/>
        <s v="TX500977"/>
        <s v="TX500978"/>
        <s v="TX500979"/>
        <s v="TX500980"/>
        <s v="TX500981"/>
        <s v="TX500982"/>
        <s v="TX500983"/>
        <s v="TX500984"/>
        <s v="TX500985"/>
        <s v="TX500986"/>
        <s v="TX500987"/>
        <s v="TX500988"/>
        <s v="TX500989"/>
        <s v="TX500990"/>
        <s v="TX500991"/>
        <s v="TX500992"/>
        <s v="TX500993"/>
        <s v="TX500994"/>
        <s v="TX500995"/>
        <s v="TX500996"/>
        <s v="TX500997"/>
        <s v="TX500998"/>
        <s v="TX500999"/>
        <s v="TX501000"/>
        <s v="TX501001"/>
        <s v="TX501002"/>
        <s v="TX501003"/>
        <s v="TX501004"/>
        <s v="TX501005"/>
        <s v="TX501006"/>
        <s v="TX501007"/>
        <s v="TX501008"/>
        <s v="TX501009"/>
        <s v="TX501010"/>
        <s v="TX501011"/>
        <s v="TX501012"/>
        <s v="TX501013"/>
        <s v="TX501014"/>
        <s v="TX501015"/>
        <s v="TX501016"/>
        <s v="TX501017"/>
        <s v="TX501018"/>
        <s v="TX501019"/>
        <s v="TX501020"/>
        <s v="TX501021"/>
        <s v="TX501022"/>
        <s v="TX501023"/>
        <s v="TX501024"/>
        <s v="TX501025"/>
        <s v="TX501026"/>
        <s v="TX501027"/>
        <s v="TX501028"/>
        <s v="TX501029"/>
        <s v="TX501030"/>
        <s v="TX501031"/>
        <s v="TX501032"/>
        <s v="TX501033"/>
        <s v="TX501034"/>
        <s v="TX501035"/>
        <s v="TX501036"/>
        <s v="TX501037"/>
        <s v="TX501038"/>
        <s v="TX501039"/>
        <s v="TX501040"/>
        <s v="TX501041"/>
        <s v="TX501042"/>
        <s v="TX501043"/>
        <s v="TX501044"/>
        <s v="TX501045"/>
        <s v="TX501046"/>
        <s v="TX501047"/>
        <s v="TX501048"/>
        <s v="TX501049"/>
        <s v="TX501050"/>
        <s v="TX501051"/>
        <s v="TX501052"/>
        <s v="TX501053"/>
        <s v="TX501054"/>
        <s v="TX501055"/>
        <s v="TX501056"/>
        <s v="TX501057"/>
        <s v="TX501058"/>
        <s v="TX501059"/>
        <s v="TX501060"/>
        <s v="TX501061"/>
        <s v="TX501062"/>
        <s v="TX501063"/>
        <s v="TX501064"/>
        <s v="TX501065"/>
        <s v="TX501066"/>
        <s v="TX501067"/>
        <s v="TX501068"/>
        <s v="TX501069"/>
        <s v="TX501070"/>
        <s v="TX501071"/>
        <s v="TX501072"/>
        <s v="TX501073"/>
        <s v="TX501074"/>
        <s v="TX501075"/>
        <s v="TX501076"/>
        <s v="TX501077"/>
        <s v="TX501078"/>
        <s v="TX501079"/>
        <s v="TX501080"/>
        <s v="TX501081"/>
        <s v="TX501082"/>
        <s v="TX501083"/>
        <s v="TX501084"/>
        <s v="TX501085"/>
        <s v="TX501086"/>
        <s v="TX501087"/>
        <s v="TX501088"/>
        <s v="TX501089"/>
        <s v="TX501090"/>
        <s v="TX501091"/>
        <s v="TX501092"/>
        <s v="TX501093"/>
        <s v="TX501094"/>
        <s v="TX501095"/>
        <s v="TX501096"/>
        <s v="TX501097"/>
        <s v="TX501098"/>
        <s v="TX501099"/>
        <s v="TX501100"/>
        <s v="TX501101"/>
        <s v="TX501102"/>
        <s v="TX501103"/>
        <s v="TX501104"/>
        <s v="TX501105"/>
        <s v="TX501106"/>
        <s v="TX501107"/>
        <s v="TX501108"/>
        <s v="TX501109"/>
        <s v="TX501110"/>
        <s v="TX501111"/>
        <s v="TX501112"/>
        <s v="TX501113"/>
        <s v="TX501114"/>
        <s v="TX501115"/>
        <s v="TX501116"/>
        <s v="TX501117"/>
        <s v="TX501118"/>
        <s v="TX501119"/>
        <s v="TX501120"/>
        <s v="TX501121"/>
        <s v="TX501122"/>
        <s v="TX501123"/>
        <s v="TX501124"/>
        <s v="TX501125"/>
        <s v="TX501126"/>
        <s v="TX501127"/>
        <s v="TX501128"/>
        <s v="TX501129"/>
        <s v="TX501130"/>
        <s v="TX501131"/>
        <s v="TX501132"/>
        <s v="TX501133"/>
        <s v="TX501134"/>
        <s v="TX501135"/>
        <s v="TX501136"/>
        <s v="TX501137"/>
        <s v="TX501138"/>
        <s v="TX501139"/>
        <s v="TX501140"/>
        <s v="TX501141"/>
        <s v="TX501142"/>
        <s v="TX501143"/>
        <s v="TX501144"/>
        <s v="TX501145"/>
        <s v="TX501146"/>
        <s v="TX501147"/>
        <s v="TX501148"/>
        <s v="TX501149"/>
        <s v="TX501150"/>
        <s v="TX501151"/>
        <s v="TX501152"/>
        <s v="TX501153"/>
        <s v="TX501154"/>
        <s v="TX501155"/>
        <s v="TX501156"/>
        <s v="TX501157"/>
        <s v="TX501158"/>
        <s v="TX501159"/>
        <s v="TX501160"/>
        <s v="TX501161"/>
        <s v="TX501162"/>
        <s v="TX501163"/>
        <s v="TX501164"/>
        <s v="TX501165"/>
        <s v="TX501166"/>
        <s v="TX501167"/>
        <s v="TX501168"/>
        <s v="TX501169"/>
        <s v="TX501170"/>
        <s v="TX501171"/>
        <s v="TX501172"/>
        <s v="TX501173"/>
        <s v="TX501174"/>
        <s v="TX501175"/>
        <s v="TX501176"/>
        <s v="TX501177"/>
        <s v="TX501178"/>
        <s v="TX501179"/>
        <s v="TX501180"/>
        <s v="TX501181"/>
        <s v="TX501182"/>
        <s v="TX501183"/>
        <s v="TX501184"/>
        <s v="TX501185"/>
        <s v="TX501186"/>
        <s v="TX501187"/>
        <s v="TX501188"/>
        <s v="TX501189"/>
        <s v="TX501190"/>
        <s v="TX501191"/>
        <s v="TX501192"/>
        <s v="TX501193"/>
        <s v="TX501194"/>
        <s v="TX501195"/>
        <s v="TX501196"/>
        <s v="TX501197"/>
        <s v="TX501198"/>
        <s v="TX501199"/>
        <s v="TX501200"/>
        <s v="TX501201"/>
        <s v="TX501202"/>
        <s v="TX501203"/>
        <s v="TX501204"/>
        <s v="TX501205"/>
        <s v="TX501206"/>
        <s v="TX501207"/>
        <s v="TX501208"/>
        <s v="TX501209"/>
        <s v="TX501210"/>
        <s v="TX501211"/>
        <s v="TX501212"/>
        <s v="TX501213"/>
        <s v="TX501214"/>
        <s v="TX501215"/>
        <s v="TX501216"/>
        <s v="TX501217"/>
        <s v="TX501218"/>
        <s v="TX501219"/>
        <s v="TX501220"/>
        <s v="TX501221"/>
        <s v="TX501222"/>
        <s v="TX501223"/>
        <s v="TX501224"/>
        <s v="TX501225"/>
        <s v="TX501226"/>
        <s v="TX501227"/>
        <s v="TX501228"/>
        <s v="TX501229"/>
        <s v="TX501230"/>
        <s v="TX501231"/>
        <s v="TX501232"/>
        <s v="TX501233"/>
        <s v="TX501234"/>
        <s v="TX501235"/>
        <s v="TX501236"/>
        <s v="TX501237"/>
        <s v="TX501238"/>
        <s v="TX501239"/>
        <s v="TX501240"/>
        <s v="TX501241"/>
        <s v="TX501242"/>
        <s v="TX501243"/>
        <s v="TX501244"/>
        <s v="TX501245"/>
        <s v="TX501246"/>
        <s v="TX501247"/>
        <s v="TX501248"/>
        <s v="TX501249"/>
        <s v="TX501250"/>
        <s v="TX501251"/>
        <s v="TX501252"/>
        <s v="TX501253"/>
        <s v="TX501254"/>
        <s v="TX501255"/>
        <s v="TX501256"/>
        <s v="TX501257"/>
        <s v="TX501258"/>
        <s v="TX501259"/>
        <s v="TX501260"/>
        <s v="TX501261"/>
        <s v="TX501262"/>
        <s v="TX501263"/>
        <s v="TX501264"/>
        <s v="TX501265"/>
        <s v="TX501266"/>
        <s v="TX501267"/>
        <s v="TX501268"/>
        <s v="TX501269"/>
        <s v="TX501270"/>
        <s v="TX501271"/>
        <s v="TX501272"/>
        <s v="TX501273"/>
        <s v="TX501274"/>
        <s v="TX501275"/>
        <s v="TX501276"/>
        <s v="TX501277"/>
        <s v="TX501278"/>
        <s v="TX501279"/>
        <s v="TX501280"/>
        <s v="TX501281"/>
        <s v="TX501282"/>
        <s v="TX501283"/>
        <s v="TX501284"/>
        <s v="TX501285"/>
        <s v="TX501286"/>
        <s v="TX501287"/>
        <s v="TX501288"/>
        <s v="TX501289"/>
        <s v="TX501290"/>
        <s v="TX501291"/>
        <s v="TX501292"/>
        <s v="TX501293"/>
        <s v="TX501294"/>
        <s v="TX501295"/>
        <s v="TX501296"/>
        <s v="TX501297"/>
        <s v="TX501298"/>
        <s v="TX501299"/>
        <s v="TX501300"/>
        <s v="TX501301"/>
        <s v="TX501302"/>
        <s v="TX501303"/>
        <s v="TX501304"/>
        <s v="TX501305"/>
        <s v="TX501306"/>
        <s v="TX501307"/>
        <s v="TX501308"/>
        <s v="TX501309"/>
        <s v="TX501310"/>
        <s v="TX501311"/>
        <s v="TX501312"/>
        <s v="TX501313"/>
        <s v="TX501314"/>
        <s v="TX501315"/>
        <s v="TX501316"/>
        <s v="TX501317"/>
        <s v="TX501318"/>
        <s v="TX501319"/>
        <s v="TX501320"/>
        <s v="TX501321"/>
        <s v="TX501322"/>
        <s v="TX501323"/>
        <s v="TX501324"/>
        <s v="TX501325"/>
        <s v="TX501326"/>
        <s v="TX501327"/>
        <s v="TX501328"/>
        <s v="TX501329"/>
        <s v="TX501330"/>
        <s v="TX501331"/>
        <s v="TX501332"/>
        <s v="TX501333"/>
        <s v="TX501334"/>
        <s v="TX501335"/>
        <s v="TX501336"/>
        <s v="TX501337"/>
        <s v="TX501338"/>
        <s v="TX501339"/>
        <s v="TX501340"/>
        <s v="TX501341"/>
        <s v="TX501342"/>
        <s v="TX501343"/>
        <s v="TX501344"/>
        <s v="TX501345"/>
        <s v="TX501346"/>
        <s v="TX501347"/>
        <s v="TX501348"/>
        <s v="TX501349"/>
        <s v="TX501350"/>
        <s v="TX501351"/>
        <s v="TX501352"/>
        <s v="TX501353"/>
        <s v="TX501354"/>
        <s v="TX501355"/>
        <s v="TX501356"/>
        <s v="TX501357"/>
        <s v="TX501358"/>
        <s v="TX501359"/>
        <s v="TX501360"/>
        <s v="TX501361"/>
        <s v="TX501362"/>
        <s v="TX501363"/>
        <s v="TX501364"/>
        <s v="TX501365"/>
        <s v="TX501366"/>
        <s v="TX501367"/>
        <s v="TX501368"/>
        <s v="TX501369"/>
        <s v="TX501370"/>
        <s v="TX501371"/>
        <s v="TX501372"/>
        <s v="TX501373"/>
        <s v="TX501374"/>
        <s v="TX501375"/>
        <s v="TX501376"/>
        <s v="TX501377"/>
        <s v="TX501378"/>
        <s v="TX501379"/>
        <s v="TX501380"/>
        <s v="TX501381"/>
        <s v="TX501382"/>
        <s v="TX501383"/>
        <s v="TX501384"/>
        <s v="TX501385"/>
        <s v="TX501386"/>
        <s v="TX501387"/>
        <s v="TX501388"/>
        <s v="TX501389"/>
        <s v="TX501390"/>
        <s v="TX501391"/>
        <s v="TX501392"/>
        <s v="TX501393"/>
        <s v="TX501394"/>
        <s v="TX501395"/>
        <s v="TX501396"/>
        <s v="TX501397"/>
        <s v="TX501398"/>
        <s v="TX501399"/>
        <s v="TX501400"/>
        <s v="TX501401"/>
        <s v="TX501402"/>
        <s v="TX501403"/>
        <s v="TX501404"/>
        <s v="TX501405"/>
        <s v="TX501406"/>
        <s v="TX501407"/>
        <s v="TX501408"/>
        <s v="TX501409"/>
        <s v="TX501410"/>
        <s v="TX501411"/>
        <s v="TX501412"/>
        <s v="TX501413"/>
        <s v="TX501414"/>
        <s v="TX501415"/>
        <s v="TX501416"/>
        <s v="TX501417"/>
        <s v="TX501418"/>
        <s v="TX501419"/>
        <s v="TX501420"/>
        <s v="TX501421"/>
        <s v="TX501422"/>
        <s v="TX501423"/>
        <s v="TX501424"/>
        <s v="TX501425"/>
        <s v="TX501426"/>
        <s v="TX501427"/>
        <s v="TX501428"/>
        <s v="TX501429"/>
        <s v="TX501430"/>
        <s v="TX501431"/>
        <s v="TX501432"/>
        <s v="TX501433"/>
        <s v="TX501434"/>
        <s v="TX501435"/>
        <s v="TX501436"/>
        <s v="TX501437"/>
        <s v="TX501438"/>
        <s v="TX501439"/>
        <s v="TX501440"/>
        <s v="TX501441"/>
        <s v="TX501442"/>
        <s v="TX501443"/>
        <s v="TX501444"/>
        <s v="TX501445"/>
        <s v="TX501446"/>
        <s v="TX501447"/>
        <s v="TX501448"/>
        <s v="TX501449"/>
        <s v="TX501450"/>
        <s v="TX501451"/>
        <s v="TX501452"/>
        <s v="TX501453"/>
        <s v="TX501454"/>
        <s v="TX501455"/>
        <s v="TX501456"/>
        <s v="TX501457"/>
        <s v="TX501458"/>
        <s v="TX501459"/>
        <s v="TX501460"/>
        <s v="TX501461"/>
        <s v="TX501462"/>
        <s v="TX501463"/>
        <s v="TX501464"/>
        <s v="TX501465"/>
        <s v="TX501466"/>
        <s v="TX501467"/>
        <s v="TX501468"/>
        <s v="TX501469"/>
        <s v="TX501470"/>
        <s v="TX501471"/>
        <s v="TX501472"/>
        <s v="TX501473"/>
        <s v="TX501474"/>
        <s v="TX501475"/>
        <s v="TX501476"/>
        <s v="TX501477"/>
        <s v="TX501478"/>
        <s v="TX501479"/>
        <s v="TX501480"/>
        <s v="TX501481"/>
        <s v="TX501482"/>
        <s v="TX501483"/>
        <s v="TX501484"/>
        <s v="TX501485"/>
        <s v="TX501486"/>
        <s v="TX501487"/>
        <s v="TX501488"/>
        <s v="TX501489"/>
        <s v="TX501490"/>
        <s v="TX501491"/>
        <s v="TX501492"/>
        <s v="TX501493"/>
        <s v="TX501494"/>
        <s v="TX501495"/>
        <s v="TX501496"/>
        <s v="TX501497"/>
        <s v="TX501498"/>
        <s v="TX501499"/>
        <s v="TX501500"/>
        <s v="TX501501"/>
        <s v="TX501502"/>
        <s v="TX501503"/>
        <s v="TX501504"/>
        <s v="TX501505"/>
        <s v="TX501506"/>
        <s v="TX501507"/>
        <s v="TX501508"/>
        <s v="TX501509"/>
        <s v="TX501510"/>
        <s v="TX501511"/>
        <s v="TX501512"/>
        <s v="TX501513"/>
        <s v="TX501514"/>
        <s v="TX501515"/>
        <s v="TX501516"/>
        <s v="TX501517"/>
        <s v="TX501518"/>
        <s v="TX501519"/>
        <s v="TX501520"/>
        <s v="TX501521"/>
        <s v="TX501522"/>
        <s v="TX501523"/>
        <s v="TX501524"/>
        <s v="TX501525"/>
        <s v="TX501526"/>
        <s v="TX501527"/>
        <s v="TX501528"/>
        <s v="TX501529"/>
        <s v="TX501530"/>
        <s v="TX501531"/>
        <s v="TX501532"/>
        <s v="TX501533"/>
        <s v="TX501534"/>
        <s v="TX501535"/>
        <s v="TX501536"/>
        <s v="TX501537"/>
        <s v="TX501538"/>
        <s v="TX501539"/>
        <s v="TX501540"/>
        <s v="TX501541"/>
        <s v="TX501542"/>
        <s v="TX501543"/>
        <s v="TX501544"/>
        <s v="TX501545"/>
        <s v="TX501546"/>
        <s v="TX501547"/>
        <s v="TX501548"/>
        <s v="TX501549"/>
        <s v="TX501550"/>
        <s v="TX501551"/>
        <s v="TX501552"/>
        <s v="TX501553"/>
        <s v="TX501554"/>
        <s v="TX501555"/>
        <s v="TX501556"/>
        <s v="TX501557"/>
        <s v="TX501558"/>
        <s v="TX501559"/>
        <s v="TX501560"/>
        <s v="TX501561"/>
        <s v="TX501562"/>
        <s v="TX501563"/>
        <s v="TX501564"/>
        <s v="TX501565"/>
        <s v="TX501566"/>
        <s v="TX501567"/>
        <s v="TX501568"/>
        <s v="TX501569"/>
        <s v="TX501570"/>
        <s v="TX501571"/>
        <s v="TX501572"/>
        <s v="TX501573"/>
        <s v="TX501574"/>
        <s v="TX501575"/>
        <s v="TX501576"/>
        <s v="TX501577"/>
        <s v="TX501578"/>
        <s v="TX501579"/>
        <s v="TX501580"/>
        <s v="TX501581"/>
        <s v="TX501582"/>
        <s v="TX501583"/>
        <s v="TX501584"/>
        <s v="TX501585"/>
        <s v="TX501586"/>
        <s v="TX501587"/>
        <s v="TX501588"/>
        <s v="TX501589"/>
        <s v="TX501590"/>
        <s v="TX501591"/>
        <s v="TX501592"/>
        <s v="TX501593"/>
        <s v="TX501594"/>
        <s v="TX501595"/>
        <s v="TX501596"/>
        <s v="TX501597"/>
        <s v="TX501598"/>
        <s v="TX501599"/>
        <s v="TX501600"/>
        <s v="TX501601"/>
        <s v="TX501602"/>
        <s v="TX501603"/>
        <s v="TX501604"/>
        <s v="TX501605"/>
        <s v="TX501606"/>
        <s v="TX501607"/>
        <s v="TX501608"/>
        <s v="TX501609"/>
        <s v="TX501610"/>
        <s v="TX501611"/>
        <s v="TX501612"/>
        <s v="TX501613"/>
        <s v="TX501614"/>
        <s v="TX501615"/>
        <s v="TX501616"/>
        <s v="TX501617"/>
        <s v="TX501618"/>
        <s v="TX501619"/>
        <s v="TX501620"/>
        <s v="TX501621"/>
        <s v="TX501622"/>
        <s v="TX501623"/>
        <s v="TX501624"/>
        <s v="TX501625"/>
        <s v="TX501626"/>
        <s v="TX501627"/>
        <s v="TX501628"/>
        <s v="TX501629"/>
        <s v="TX501630"/>
        <s v="TX501631"/>
        <s v="TX501632"/>
        <s v="TX501633"/>
        <s v="TX501634"/>
        <s v="TX501635"/>
        <s v="TX501636"/>
        <s v="TX501637"/>
        <s v="TX501638"/>
        <s v="TX501639"/>
        <s v="TX501640"/>
        <s v="TX501641"/>
        <s v="TX501642"/>
        <s v="TX501643"/>
        <s v="TX501644"/>
        <s v="TX501645"/>
        <s v="TX501646"/>
        <s v="TX501647"/>
        <s v="TX501648"/>
        <s v="TX501649"/>
        <s v="TX501650"/>
        <s v="TX501651"/>
        <s v="TX501652"/>
        <s v="TX501653"/>
        <s v="TX501654"/>
        <s v="TX501655"/>
        <s v="TX501656"/>
        <s v="TX501657"/>
        <s v="TX501658"/>
        <s v="TX501659"/>
        <s v="TX501660"/>
        <s v="TX501661"/>
        <s v="TX501662"/>
        <s v="TX501663"/>
        <s v="TX501664"/>
        <s v="TX501665"/>
        <s v="TX501666"/>
        <s v="TX501667"/>
        <s v="TX501668"/>
        <s v="TX501669"/>
        <s v="TX501670"/>
        <s v="TX501671"/>
        <s v="TX501672"/>
        <s v="TX501673"/>
        <s v="TX501674"/>
        <s v="TX501675"/>
        <s v="TX501676"/>
        <s v="TX501677"/>
        <s v="TX501678"/>
        <s v="TX501679"/>
        <s v="TX501680"/>
        <s v="TX501681"/>
        <s v="TX501682"/>
        <s v="TX501683"/>
        <s v="TX501684"/>
        <s v="TX501685"/>
        <s v="TX501686"/>
        <s v="TX501687"/>
        <s v="TX501688"/>
        <s v="TX501689"/>
        <s v="TX501690"/>
        <s v="TX501691"/>
        <s v="TX501692"/>
        <s v="TX501693"/>
        <s v="TX501694"/>
        <s v="TX501695"/>
        <s v="TX501696"/>
        <s v="TX501697"/>
        <s v="TX501698"/>
        <s v="TX501699"/>
        <s v="TX501700"/>
        <s v="TX501701"/>
        <s v="TX501702"/>
        <s v="TX501703"/>
        <s v="TX501704"/>
        <s v="TX501705"/>
        <s v="TX501706"/>
        <s v="TX501707"/>
        <s v="TX501708"/>
        <s v="TX501709"/>
        <s v="TX501710"/>
        <s v="TX501711"/>
        <s v="TX501712"/>
        <s v="TX501713"/>
        <s v="TX501714"/>
        <s v="TX501715"/>
        <s v="TX501716"/>
        <s v="TX501717"/>
        <s v="TX501718"/>
        <s v="TX501719"/>
        <s v="TX501720"/>
        <s v="TX501721"/>
        <s v="TX501722"/>
        <s v="TX501723"/>
        <s v="TX501724"/>
        <s v="TX501725"/>
        <s v="TX501726"/>
        <s v="TX501727"/>
        <s v="TX501728"/>
        <s v="TX501729"/>
        <s v="TX501730"/>
        <s v="TX501731"/>
        <s v="TX501732"/>
        <s v="TX501733"/>
        <s v="TX501734"/>
        <s v="TX501735"/>
        <s v="TX501736"/>
        <s v="TX501737"/>
        <s v="TX501738"/>
        <s v="TX501739"/>
        <s v="TX501740"/>
        <s v="TX501741"/>
        <s v="TX501742"/>
        <s v="TX501743"/>
        <s v="TX501744"/>
        <s v="TX501745"/>
        <s v="TX501746"/>
        <s v="TX501747"/>
        <s v="TX501748"/>
        <s v="TX501749"/>
        <s v="TX501750"/>
        <s v="TX501751"/>
        <s v="TX501752"/>
        <s v="TX501753"/>
        <s v="TX501754"/>
        <s v="TX501755"/>
        <s v="TX501756"/>
        <s v="TX501757"/>
        <s v="TX501758"/>
        <s v="TX501759"/>
        <s v="TX501760"/>
        <s v="TX501761"/>
        <s v="TX501762"/>
        <s v="TX501763"/>
        <s v="TX501764"/>
        <s v="TX501765"/>
        <s v="TX501766"/>
        <s v="TX501767"/>
        <s v="TX501768"/>
        <s v="TX501769"/>
        <s v="TX501770"/>
        <s v="TX501771"/>
        <s v="TX501772"/>
        <s v="TX501773"/>
        <s v="TX501774"/>
        <s v="TX501775"/>
        <s v="TX501776"/>
        <s v="TX501777"/>
        <s v="TX501778"/>
        <s v="TX501779"/>
        <s v="TX501780"/>
        <s v="TX501781"/>
        <s v="TX501782"/>
        <s v="TX501783"/>
        <s v="TX501784"/>
        <s v="TX501785"/>
        <s v="TX501786"/>
        <s v="TX501787"/>
        <s v="TX501788"/>
        <s v="TX501789"/>
        <s v="TX501790"/>
        <s v="TX501791"/>
        <s v="TX501792"/>
        <s v="TX501793"/>
        <s v="TX501794"/>
        <s v="TX501795"/>
        <s v="TX501796"/>
        <s v="TX501797"/>
        <s v="TX501798"/>
        <s v="TX501799"/>
        <s v="TX501800"/>
        <s v="TX501801"/>
        <s v="TX501802"/>
        <s v="TX501803"/>
        <s v="TX501804"/>
        <s v="TX501805"/>
        <s v="TX501806"/>
        <s v="TX501807"/>
        <s v="TX501808"/>
        <s v="TX501809"/>
        <s v="TX501810"/>
        <s v="TX501811"/>
        <s v="TX501812"/>
        <s v="TX501813"/>
        <s v="TX501814"/>
        <s v="TX501815"/>
        <s v="TX501816"/>
        <s v="TX501817"/>
        <s v="TX501818"/>
        <s v="TX501819"/>
        <s v="TX501820"/>
        <s v="TX501821"/>
        <s v="TX501822"/>
        <s v="TX501823"/>
        <s v="TX501824"/>
        <s v="TX501825"/>
        <s v="TX501826"/>
        <s v="TX501827"/>
        <s v="TX501828"/>
        <s v="TX501829"/>
        <s v="TX501830"/>
        <s v="TX501831"/>
        <s v="TX501832"/>
        <s v="TX501833"/>
        <s v="TX501834"/>
        <s v="TX501835"/>
        <s v="TX501836"/>
        <s v="TX501837"/>
        <s v="TX501838"/>
        <s v="TX501839"/>
        <s v="TX501840"/>
        <s v="TX501841"/>
        <s v="TX501842"/>
        <s v="TX501843"/>
        <s v="TX501844"/>
        <s v="TX501845"/>
        <s v="TX501846"/>
        <s v="TX501847"/>
        <s v="TX501848"/>
        <s v="TX501849"/>
        <s v="TX501850"/>
        <s v="TX501851"/>
        <s v="TX501852"/>
        <s v="TX501853"/>
        <s v="TX501854"/>
        <s v="TX501855"/>
        <s v="TX501856"/>
        <s v="TX501857"/>
        <s v="TX501858"/>
        <s v="TX501859"/>
        <s v="TX501860"/>
        <s v="TX501861"/>
        <s v="TX501862"/>
        <s v="TX501863"/>
        <s v="TX501864"/>
        <s v="TX501865"/>
        <s v="TX501866"/>
        <s v="TX501867"/>
        <s v="TX501868"/>
        <s v="TX501869"/>
        <s v="TX501870"/>
        <s v="TX501871"/>
        <s v="TX501872"/>
        <s v="TX501873"/>
        <s v="TX501874"/>
        <s v="TX501875"/>
        <s v="TX501876"/>
        <s v="TX501877"/>
        <s v="TX501878"/>
        <s v="TX501879"/>
        <s v="TX501880"/>
        <s v="TX501881"/>
        <s v="TX501882"/>
        <s v="TX501883"/>
        <s v="TX501884"/>
        <s v="TX501885"/>
        <s v="TX501886"/>
        <s v="TX501887"/>
        <s v="TX501888"/>
        <s v="TX501889"/>
        <s v="TX501890"/>
        <s v="TX501891"/>
        <s v="TX501892"/>
        <s v="TX501893"/>
        <s v="TX501894"/>
        <s v="TX501895"/>
        <s v="TX501896"/>
        <s v="TX501897"/>
        <s v="TX501898"/>
        <s v="TX501899"/>
        <s v="TX501900"/>
        <s v="TX501901"/>
        <s v="TX501902"/>
        <s v="TX501903"/>
        <s v="TX501904"/>
        <s v="TX501905"/>
        <s v="TX501906"/>
        <s v="TX501907"/>
        <s v="TX501908"/>
        <s v="TX501909"/>
        <s v="TX501910"/>
        <s v="TX501911"/>
        <s v="TX501912"/>
        <s v="TX501913"/>
        <s v="TX501914"/>
        <s v="TX501915"/>
        <s v="TX501916"/>
        <s v="TX501917"/>
        <s v="TX501918"/>
        <s v="TX501919"/>
        <s v="TX501920"/>
        <s v="TX501921"/>
        <s v="TX501922"/>
        <s v="TX501923"/>
        <s v="TX501924"/>
        <s v="TX501925"/>
        <s v="TX501926"/>
        <s v="TX501927"/>
        <s v="TX501928"/>
        <s v="TX501929"/>
        <s v="TX501930"/>
        <s v="TX501931"/>
        <s v="TX501932"/>
        <s v="TX501933"/>
        <s v="TX501934"/>
        <s v="TX501935"/>
        <s v="TX501936"/>
        <s v="TX501937"/>
        <s v="TX501938"/>
        <s v="TX501939"/>
        <s v="TX501940"/>
        <s v="TX501941"/>
        <s v="TX501942"/>
        <s v="TX501943"/>
        <s v="TX501944"/>
        <s v="TX501945"/>
        <s v="TX501946"/>
        <s v="TX501947"/>
        <s v="TX501948"/>
        <s v="TX501949"/>
        <s v="TX501950"/>
        <s v="TX501951"/>
        <s v="TX501952"/>
        <s v="TX501953"/>
        <s v="TX501954"/>
        <s v="TX501955"/>
        <s v="TX501956"/>
        <s v="TX501957"/>
        <s v="TX501958"/>
        <s v="TX501959"/>
        <s v="TX501960"/>
        <s v="TX501961"/>
        <s v="TX501962"/>
        <s v="TX501963"/>
        <s v="TX501964"/>
        <s v="TX501965"/>
        <s v="TX501966"/>
        <s v="TX501967"/>
        <s v="TX501968"/>
        <s v="TX501969"/>
        <s v="TX501970"/>
        <s v="TX501971"/>
        <s v="TX501972"/>
        <s v="TX501973"/>
        <s v="TX501974"/>
        <s v="TX501975"/>
        <s v="TX501976"/>
        <s v="TX501977"/>
        <s v="TX501978"/>
        <s v="TX501979"/>
        <s v="TX501980"/>
        <s v="TX501981"/>
        <s v="TX501982"/>
        <s v="TX501983"/>
        <s v="TX501984"/>
        <s v="TX501985"/>
        <s v="TX501986"/>
        <s v="TX501987"/>
        <s v="TX501988"/>
        <s v="TX501989"/>
        <s v="TX501990"/>
        <s v="TX501991"/>
        <s v="TX501992"/>
        <s v="TX501993"/>
        <s v="TX501994"/>
        <s v="TX501995"/>
        <s v="TX501996"/>
        <s v="TX501997"/>
        <s v="TX501998"/>
        <s v="TX501999"/>
        <s v="TX502000"/>
        <s v="TX502001"/>
        <s v="TX502002"/>
        <s v="TX502003"/>
        <s v="TX502004"/>
        <s v="TX502005"/>
        <s v="TX502006"/>
        <s v="TX502007"/>
        <s v="TX502008"/>
        <s v="TX502009"/>
        <s v="TX502010"/>
        <s v="TX502011"/>
        <s v="TX502012"/>
        <s v="TX502013"/>
        <s v="TX502014"/>
        <s v="TX502015"/>
        <s v="TX502016"/>
        <s v="TX502017"/>
        <s v="TX502018"/>
        <s v="TX502019"/>
        <s v="TX502020"/>
        <s v="TX502021"/>
        <s v="TX502022"/>
        <s v="TX502023"/>
        <s v="TX502024"/>
        <s v="TX502025"/>
        <s v="TX502026"/>
        <s v="TX502027"/>
        <s v="TX502028"/>
        <s v="TX502029"/>
        <s v="TX502030"/>
        <s v="TX502031"/>
        <s v="TX502032"/>
        <s v="TX502033"/>
        <s v="TX502034"/>
        <s v="TX502035"/>
        <s v="TX502036"/>
        <s v="TX502037"/>
        <s v="TX502038"/>
        <s v="TX502039"/>
        <s v="TX502040"/>
        <s v="TX502041"/>
        <s v="TX502042"/>
        <s v="TX502043"/>
        <s v="TX502044"/>
        <s v="TX502045"/>
        <s v="TX502046"/>
        <s v="TX502047"/>
        <s v="TX502048"/>
        <s v="TX502049"/>
        <s v="TX502050"/>
        <s v="TX502051"/>
        <s v="TX502052"/>
        <s v="TX502053"/>
        <s v="TX502054"/>
        <s v="TX502055"/>
        <s v="TX502056"/>
        <s v="TX502057"/>
        <s v="TX502058"/>
        <s v="TX502059"/>
        <s v="TX502060"/>
        <s v="TX502061"/>
        <s v="TX502062"/>
        <s v="TX502063"/>
        <s v="TX502064"/>
        <s v="TX502065"/>
        <s v="TX502066"/>
        <s v="TX502067"/>
        <s v="TX502068"/>
        <s v="TX502069"/>
        <s v="TX502070"/>
        <s v="TX502071"/>
        <s v="TX502072"/>
        <s v="TX502073"/>
        <s v="TX502074"/>
        <s v="TX502075"/>
        <s v="TX502076"/>
        <s v="TX502077"/>
        <s v="TX502078"/>
        <s v="TX502079"/>
        <s v="TX502080"/>
        <s v="TX502081"/>
        <s v="TX502082"/>
        <s v="TX502083"/>
        <s v="TX502084"/>
        <s v="TX502085"/>
        <s v="TX502086"/>
        <s v="TX502087"/>
        <s v="TX502088"/>
        <s v="TX502089"/>
        <s v="TX502090"/>
        <s v="TX502091"/>
        <s v="TX502092"/>
        <s v="TX502093"/>
        <s v="TX502094"/>
        <s v="TX502095"/>
        <s v="TX502096"/>
        <s v="TX502097"/>
        <s v="TX502098"/>
        <s v="TX502099"/>
        <s v="TX502100"/>
        <s v="TX502101"/>
        <s v="TX502102"/>
        <s v="TX502103"/>
        <s v="TX502104"/>
        <s v="TX502105"/>
        <s v="TX502106"/>
        <s v="TX502107"/>
        <s v="TX502108"/>
        <s v="TX502109"/>
        <s v="TX502110"/>
        <s v="TX502111"/>
        <s v="TX502112"/>
        <s v="TX502113"/>
        <s v="TX502114"/>
        <s v="TX502115"/>
        <s v="TX502116"/>
        <s v="TX502117"/>
        <s v="TX502118"/>
        <s v="TX502119"/>
        <s v="TX502120"/>
        <s v="TX502121"/>
        <s v="TX502122"/>
        <s v="TX502123"/>
        <s v="TX502124"/>
        <s v="TX502125"/>
        <s v="TX502126"/>
        <s v="TX502127"/>
        <s v="TX502128"/>
        <s v="TX502129"/>
        <s v="TX502130"/>
        <s v="TX502131"/>
        <s v="TX502132"/>
        <s v="TX502133"/>
        <s v="TX502134"/>
        <s v="TX502135"/>
        <s v="TX502136"/>
        <s v="TX502137"/>
        <s v="TX502138"/>
        <s v="TX502139"/>
        <s v="TX502140"/>
        <s v="TX502141"/>
        <s v="TX502142"/>
        <s v="TX502143"/>
        <s v="TX502144"/>
        <s v="TX502145"/>
        <s v="TX502146"/>
        <s v="TX502147"/>
        <s v="TX502148"/>
        <s v="TX502149"/>
        <s v="TX502150"/>
        <s v="TX502151"/>
        <s v="TX502152"/>
        <s v="TX502153"/>
        <s v="TX502154"/>
        <s v="TX502155"/>
        <s v="TX502156"/>
        <s v="TX502157"/>
        <s v="TX502158"/>
        <s v="TX502159"/>
        <s v="TX502160"/>
        <s v="TX502161"/>
        <s v="TX502162"/>
        <s v="TX502163"/>
        <s v="TX502164"/>
        <s v="TX502165"/>
        <s v="TX502166"/>
        <s v="TX502167"/>
        <s v="TX502168"/>
        <s v="TX502169"/>
        <s v="TX502170"/>
        <s v="TX502171"/>
        <s v="TX502172"/>
        <s v="TX502173"/>
        <s v="TX502174"/>
        <s v="TX502175"/>
        <s v="TX502176"/>
        <s v="TX502177"/>
        <s v="TX502178"/>
        <s v="TX502179"/>
        <s v="TX502180"/>
        <s v="TX502181"/>
        <s v="TX502182"/>
        <s v="TX502183"/>
        <s v="TX502184"/>
        <s v="TX502185"/>
        <s v="TX502186"/>
        <s v="TX502187"/>
        <s v="TX502188"/>
        <s v="TX502189"/>
        <s v="TX502190"/>
        <s v="TX502191"/>
        <s v="TX502192"/>
        <s v="TX502193"/>
        <s v="TX502194"/>
        <s v="TX502195"/>
        <s v="TX502196"/>
        <s v="TX502197"/>
        <s v="TX502198"/>
        <s v="TX502199"/>
        <s v="TX502200"/>
        <s v="TX502201"/>
        <s v="TX502202"/>
        <s v="TX502203"/>
        <s v="TX502204"/>
        <s v="TX502205"/>
        <s v="TX502206"/>
        <s v="TX502207"/>
        <s v="TX502208"/>
        <s v="TX502209"/>
        <s v="TX502210"/>
        <s v="TX502211"/>
        <s v="TX502212"/>
        <s v="TX502213"/>
        <s v="TX502214"/>
        <s v="TX502215"/>
        <s v="TX502216"/>
        <s v="TX502217"/>
        <s v="TX502218"/>
        <s v="TX502219"/>
        <s v="TX502220"/>
        <s v="TX502221"/>
        <s v="TX502222"/>
        <s v="TX502223"/>
        <s v="TX502224"/>
        <s v="TX502225"/>
        <s v="TX502226"/>
        <s v="TX502227"/>
        <s v="TX502228"/>
        <s v="TX502229"/>
        <s v="TX502230"/>
        <s v="TX502231"/>
        <s v="TX502232"/>
        <s v="TX502233"/>
        <s v="TX502234"/>
        <s v="TX502235"/>
        <s v="TX502236"/>
        <s v="TX502237"/>
        <s v="TX502238"/>
        <s v="TX502239"/>
        <s v="TX502240"/>
        <s v="TX502241"/>
        <s v="TX502242"/>
        <s v="TX502243"/>
        <s v="TX502244"/>
        <s v="TX502245"/>
        <s v="TX502246"/>
        <s v="TX502247"/>
        <s v="TX502248"/>
        <s v="TX502249"/>
        <s v="TX502250"/>
        <s v="TX502251"/>
        <s v="TX502252"/>
        <s v="TX502253"/>
        <s v="TX502254"/>
        <s v="TX502255"/>
        <s v="TX502256"/>
        <s v="TX502257"/>
        <s v="TX502258"/>
        <s v="TX502259"/>
        <s v="TX502260"/>
        <s v="TX502261"/>
        <s v="TX502262"/>
        <s v="TX502263"/>
        <s v="TX502264"/>
        <s v="TX502265"/>
        <s v="TX502266"/>
        <s v="TX502267"/>
        <s v="TX502268"/>
        <s v="TX502269"/>
        <s v="TX502270"/>
        <s v="TX502271"/>
        <s v="TX502272"/>
        <s v="TX502273"/>
        <s v="TX502274"/>
        <s v="TX502275"/>
        <s v="TX502276"/>
        <s v="TX502277"/>
        <s v="TX502278"/>
        <s v="TX502279"/>
        <s v="TX502280"/>
        <s v="TX502281"/>
        <s v="TX502282"/>
        <s v="TX502283"/>
        <s v="TX502284"/>
        <s v="TX502285"/>
        <s v="TX502286"/>
        <s v="TX502287"/>
        <s v="TX502288"/>
        <s v="TX502289"/>
        <s v="TX502290"/>
        <s v="TX502291"/>
        <s v="TX502292"/>
        <s v="TX502293"/>
        <s v="TX502294"/>
        <s v="TX502295"/>
        <s v="TX502296"/>
        <s v="TX502297"/>
        <s v="TX502298"/>
        <s v="TX502299"/>
        <s v="TX502300"/>
        <s v="TX502301"/>
        <s v="TX502302"/>
        <s v="TX502303"/>
        <s v="TX502304"/>
        <s v="TX502305"/>
        <s v="TX502306"/>
        <s v="TX502307"/>
        <s v="TX502308"/>
        <s v="TX502309"/>
        <s v="TX502310"/>
        <s v="TX502311"/>
        <s v="TX502312"/>
        <s v="TX502313"/>
        <s v="TX502314"/>
        <s v="TX502315"/>
        <s v="TX502316"/>
        <s v="TX502317"/>
        <s v="TX502318"/>
        <s v="TX502319"/>
        <s v="TX502320"/>
        <s v="TX502321"/>
        <s v="TX502322"/>
        <s v="TX502323"/>
        <s v="TX502324"/>
        <s v="TX502325"/>
        <s v="TX502326"/>
        <s v="TX502327"/>
        <s v="TX502328"/>
        <s v="TX502329"/>
        <s v="TX502330"/>
        <s v="TX502331"/>
        <s v="TX502332"/>
        <s v="TX502333"/>
        <s v="TX502334"/>
        <s v="TX502335"/>
        <s v="TX502336"/>
        <s v="TX502337"/>
        <s v="TX502338"/>
        <s v="TX502339"/>
        <s v="TX502340"/>
        <s v="TX502341"/>
        <s v="TX502342"/>
        <s v="TX502343"/>
        <s v="TX502344"/>
        <s v="TX502345"/>
        <s v="TX502346"/>
        <s v="TX502347"/>
        <s v="TX502348"/>
        <s v="TX502349"/>
        <s v="TX502350"/>
        <s v="TX502351"/>
        <s v="TX502352"/>
        <s v="TX502353"/>
        <s v="TX502354"/>
        <s v="TX502355"/>
        <s v="TX502356"/>
        <s v="TX502357"/>
        <s v="TX502358"/>
        <s v="TX502359"/>
        <s v="TX502360"/>
        <s v="TX502361"/>
        <s v="TX502362"/>
        <s v="TX502363"/>
        <s v="TX502364"/>
        <s v="TX502365"/>
        <s v="TX502366"/>
        <s v="TX502367"/>
        <s v="TX502368"/>
        <s v="TX502369"/>
        <s v="TX502370"/>
        <s v="TX502371"/>
        <s v="TX502372"/>
        <s v="TX502373"/>
        <s v="TX502374"/>
        <s v="TX502375"/>
        <s v="TX502376"/>
        <s v="TX502377"/>
        <s v="TX502378"/>
        <s v="TX502379"/>
        <s v="TX502380"/>
        <s v="TX502381"/>
        <s v="TX502382"/>
        <s v="TX502383"/>
        <s v="TX502384"/>
        <s v="TX502385"/>
        <s v="TX502386"/>
        <s v="TX502387"/>
        <s v="TX502388"/>
        <s v="TX502389"/>
        <s v="TX502390"/>
        <s v="TX502391"/>
        <s v="TX502392"/>
        <s v="TX502393"/>
        <s v="TX502394"/>
        <s v="TX502395"/>
        <s v="TX502396"/>
        <s v="TX502397"/>
        <s v="TX502398"/>
        <s v="TX502399"/>
        <s v="TX50240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7"/>
    </cacheField>
    <cacheField name="Ship Date" numFmtId="15">
      <sharedItems containsSemiMixedTypes="0" containsNonDate="0" containsDate="1" containsString="0" minDate="2025-01-02T00:00:00" maxDate="2025-04-11T00:00:00"/>
    </cacheField>
    <cacheField name="Customer Gender" numFmtId="0">
      <sharedItems count="4">
        <s v=""/>
        <s v="M"/>
        <s v="F"/>
        <s v="O"/>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43"/>
          <x v="7"/>
          <x v="6"/>
          <x v="22"/>
          <x v="43"/>
          <x v="43"/>
          <x v="5"/>
          <x v="14"/>
          <x v="43"/>
          <x v="4"/>
          <x v="43"/>
          <x v="12"/>
          <x v="8"/>
          <x v="13"/>
          <x v="25"/>
          <x v="21"/>
          <x v="24"/>
          <x v="10"/>
          <x v="9"/>
          <x v="40"/>
          <x v="36"/>
          <x v="34"/>
          <x v="19"/>
          <x v="39"/>
          <x v="11"/>
          <x v="15"/>
          <x v="33"/>
          <x v="20"/>
          <x v="23"/>
          <x v="17"/>
          <x v="29"/>
          <x v="31"/>
          <x v="38"/>
          <x v="30"/>
          <x v="26"/>
          <x v="16"/>
          <x v="35"/>
          <x v="28"/>
          <x v="37"/>
          <x v="41"/>
          <x v="32"/>
          <x v="18"/>
          <x v="42"/>
          <x v="27"/>
          <x v="3"/>
        </discretePr>
        <groupItems count="44">
          <n v="1"/>
          <n v="2"/>
          <n v="3"/>
          <n v="70"/>
          <s v="4"/>
          <s v="5"/>
          <s v="11"/>
          <s v="12"/>
          <s v="13"/>
          <s v="14"/>
          <s v="15"/>
          <s v="16"/>
          <s v="17"/>
          <s v="18"/>
          <s v="19"/>
          <s v="20"/>
          <s v="21"/>
          <s v="22"/>
          <s v="23"/>
          <s v="24"/>
          <s v="25"/>
          <s v="26"/>
          <s v="27"/>
          <s v="28"/>
          <s v="29"/>
          <s v="30"/>
          <s v="31"/>
          <s v="32"/>
          <s v="33"/>
          <s v="34"/>
          <s v="35"/>
          <s v="36"/>
          <s v="38"/>
          <s v="40"/>
          <s v="41"/>
          <s v="42"/>
          <s v="43"/>
          <s v="45"/>
          <s v="47"/>
          <s v="49"/>
          <s v="62"/>
          <s v="63"/>
          <s v="87"/>
          <s v="Group1"/>
        </groupItems>
      </fieldGroup>
    </cacheField>
    <cacheField name="Days (Order Date)" numFmtId="0" databaseField="0">
      <fieldGroup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Months (Order Date)"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s>
  <extLst>
    <ext xmlns:x14="http://schemas.microsoft.com/office/spreadsheetml/2009/9/main" uri="{725AE2AE-9491-48be-B2B4-4EB974FC3084}">
      <x14:pivotCacheDefinition pivotCacheId="7742414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x v="0"/>
    <x v="0"/>
    <x v="0"/>
    <n v="10.9"/>
    <n v="10.9"/>
    <x v="0"/>
    <d v="2025-01-06T00:00:00"/>
    <x v="0"/>
    <x v="0"/>
    <x v="0"/>
    <x v="0"/>
    <x v="0"/>
    <x v="0"/>
    <x v="0"/>
    <x v="0"/>
  </r>
  <r>
    <x v="1"/>
    <x v="1"/>
    <x v="1"/>
    <n v="30.6"/>
    <n v="61.2"/>
    <x v="0"/>
    <d v="2025-01-03T00:00:00"/>
    <x v="1"/>
    <x v="0"/>
    <x v="0"/>
    <x v="0"/>
    <x v="1"/>
    <x v="1"/>
    <x v="0"/>
    <x v="1"/>
  </r>
  <r>
    <x v="2"/>
    <x v="2"/>
    <x v="2"/>
    <n v="109.4"/>
    <n v="328.20000000000005"/>
    <x v="0"/>
    <d v="2025-01-04T00:00:00"/>
    <x v="2"/>
    <x v="0"/>
    <x v="1"/>
    <x v="0"/>
    <x v="2"/>
    <x v="2"/>
    <x v="0"/>
    <x v="2"/>
  </r>
  <r>
    <x v="3"/>
    <x v="3"/>
    <x v="3"/>
    <n v="37.700000000000003"/>
    <n v="263.90000000000003"/>
    <x v="0"/>
    <d v="2025-01-02T00:00:00"/>
    <x v="2"/>
    <x v="0"/>
    <x v="0"/>
    <x v="0"/>
    <x v="2"/>
    <x v="3"/>
    <x v="0"/>
    <x v="2"/>
  </r>
  <r>
    <x v="4"/>
    <x v="4"/>
    <x v="2"/>
    <n v="56.7"/>
    <n v="170.10000000000002"/>
    <x v="0"/>
    <d v="2025-01-04T00:00:00"/>
    <x v="2"/>
    <x v="0"/>
    <x v="2"/>
    <x v="0"/>
    <x v="3"/>
    <x v="2"/>
    <x v="0"/>
    <x v="2"/>
  </r>
  <r>
    <x v="5"/>
    <x v="1"/>
    <x v="4"/>
    <n v="83.5"/>
    <n v="1002"/>
    <x v="0"/>
    <d v="2025-01-04T00:00:00"/>
    <x v="1"/>
    <x v="1"/>
    <x v="0"/>
    <x v="0"/>
    <x v="3"/>
    <x v="2"/>
    <x v="0"/>
    <x v="1"/>
  </r>
  <r>
    <x v="6"/>
    <x v="5"/>
    <x v="0"/>
    <n v="55.3"/>
    <n v="55.3"/>
    <x v="0"/>
    <d v="2025-01-02T00:00:00"/>
    <x v="2"/>
    <x v="0"/>
    <x v="0"/>
    <x v="0"/>
    <x v="3"/>
    <x v="3"/>
    <x v="0"/>
    <x v="2"/>
  </r>
  <r>
    <x v="7"/>
    <x v="6"/>
    <x v="1"/>
    <n v="40.299999999999997"/>
    <n v="80.599999999999994"/>
    <x v="0"/>
    <d v="2025-01-02T00:00:00"/>
    <x v="1"/>
    <x v="2"/>
    <x v="2"/>
    <x v="0"/>
    <x v="3"/>
    <x v="3"/>
    <x v="0"/>
    <x v="1"/>
  </r>
  <r>
    <x v="8"/>
    <x v="7"/>
    <x v="5"/>
    <n v="35.700000000000003"/>
    <n v="392.70000000000005"/>
    <x v="0"/>
    <d v="2025-01-02T00:00:00"/>
    <x v="2"/>
    <x v="0"/>
    <x v="0"/>
    <x v="0"/>
    <x v="3"/>
    <x v="3"/>
    <x v="0"/>
    <x v="2"/>
  </r>
  <r>
    <x v="9"/>
    <x v="8"/>
    <x v="3"/>
    <n v="22.4"/>
    <n v="156.79999999999998"/>
    <x v="0"/>
    <d v="2025-01-04T00:00:00"/>
    <x v="1"/>
    <x v="0"/>
    <x v="1"/>
    <x v="0"/>
    <x v="3"/>
    <x v="2"/>
    <x v="0"/>
    <x v="1"/>
  </r>
  <r>
    <x v="10"/>
    <x v="9"/>
    <x v="1"/>
    <n v="54.4"/>
    <n v="108.8"/>
    <x v="0"/>
    <d v="2025-01-07T00:00:00"/>
    <x v="2"/>
    <x v="0"/>
    <x v="0"/>
    <x v="0"/>
    <x v="3"/>
    <x v="4"/>
    <x v="0"/>
    <x v="2"/>
  </r>
  <r>
    <x v="11"/>
    <x v="9"/>
    <x v="1"/>
    <n v="49"/>
    <n v="98"/>
    <x v="0"/>
    <d v="2025-01-03T00:00:00"/>
    <x v="2"/>
    <x v="2"/>
    <x v="1"/>
    <x v="0"/>
    <x v="3"/>
    <x v="1"/>
    <x v="0"/>
    <x v="2"/>
  </r>
  <r>
    <x v="12"/>
    <x v="5"/>
    <x v="3"/>
    <n v="118.6"/>
    <n v="830.19999999999993"/>
    <x v="0"/>
    <d v="2025-01-05T00:00:00"/>
    <x v="2"/>
    <x v="1"/>
    <x v="0"/>
    <x v="0"/>
    <x v="4"/>
    <x v="5"/>
    <x v="0"/>
    <x v="2"/>
  </r>
  <r>
    <x v="13"/>
    <x v="6"/>
    <x v="6"/>
    <n v="88.4"/>
    <n v="2386.8000000000002"/>
    <x v="0"/>
    <d v="2025-01-08T00:00:00"/>
    <x v="1"/>
    <x v="3"/>
    <x v="0"/>
    <x v="0"/>
    <x v="5"/>
    <x v="6"/>
    <x v="0"/>
    <x v="1"/>
  </r>
  <r>
    <x v="14"/>
    <x v="10"/>
    <x v="0"/>
    <n v="66.7"/>
    <n v="66.7"/>
    <x v="0"/>
    <d v="2025-01-04T00:00:00"/>
    <x v="1"/>
    <x v="0"/>
    <x v="0"/>
    <x v="0"/>
    <x v="6"/>
    <x v="2"/>
    <x v="0"/>
    <x v="1"/>
  </r>
  <r>
    <x v="15"/>
    <x v="9"/>
    <x v="7"/>
    <n v="30.9"/>
    <n v="309"/>
    <x v="0"/>
    <d v="2025-01-02T00:00:00"/>
    <x v="1"/>
    <x v="1"/>
    <x v="2"/>
    <x v="0"/>
    <x v="6"/>
    <x v="3"/>
    <x v="0"/>
    <x v="1"/>
  </r>
  <r>
    <x v="16"/>
    <x v="4"/>
    <x v="2"/>
    <n v="31.1"/>
    <n v="93.300000000000011"/>
    <x v="0"/>
    <d v="2025-01-02T00:00:00"/>
    <x v="2"/>
    <x v="0"/>
    <x v="1"/>
    <x v="0"/>
    <x v="6"/>
    <x v="3"/>
    <x v="0"/>
    <x v="2"/>
  </r>
  <r>
    <x v="17"/>
    <x v="7"/>
    <x v="2"/>
    <n v="36.6"/>
    <n v="109.80000000000001"/>
    <x v="0"/>
    <d v="2025-01-04T00:00:00"/>
    <x v="2"/>
    <x v="0"/>
    <x v="0"/>
    <x v="0"/>
    <x v="7"/>
    <x v="2"/>
    <x v="0"/>
    <x v="2"/>
  </r>
  <r>
    <x v="18"/>
    <x v="6"/>
    <x v="8"/>
    <n v="51.1"/>
    <n v="408.8"/>
    <x v="0"/>
    <d v="2025-01-04T00:00:00"/>
    <x v="2"/>
    <x v="2"/>
    <x v="3"/>
    <x v="0"/>
    <x v="7"/>
    <x v="2"/>
    <x v="0"/>
    <x v="2"/>
  </r>
  <r>
    <x v="19"/>
    <x v="9"/>
    <x v="0"/>
    <n v="25.2"/>
    <n v="25.2"/>
    <x v="0"/>
    <d v="2025-01-02T00:00:00"/>
    <x v="2"/>
    <x v="1"/>
    <x v="2"/>
    <x v="0"/>
    <x v="8"/>
    <x v="3"/>
    <x v="0"/>
    <x v="2"/>
  </r>
  <r>
    <x v="20"/>
    <x v="9"/>
    <x v="9"/>
    <n v="43.8"/>
    <n v="219"/>
    <x v="0"/>
    <d v="2025-01-04T00:00:00"/>
    <x v="2"/>
    <x v="2"/>
    <x v="0"/>
    <x v="0"/>
    <x v="8"/>
    <x v="2"/>
    <x v="0"/>
    <x v="2"/>
  </r>
  <r>
    <x v="21"/>
    <x v="8"/>
    <x v="4"/>
    <n v="46.7"/>
    <n v="560.40000000000009"/>
    <x v="0"/>
    <d v="2025-01-02T00:00:00"/>
    <x v="2"/>
    <x v="1"/>
    <x v="1"/>
    <x v="0"/>
    <x v="8"/>
    <x v="3"/>
    <x v="0"/>
    <x v="2"/>
  </r>
  <r>
    <x v="22"/>
    <x v="3"/>
    <x v="10"/>
    <n v="79.900000000000006"/>
    <n v="1518.1000000000001"/>
    <x v="0"/>
    <d v="2025-01-02T00:00:00"/>
    <x v="1"/>
    <x v="0"/>
    <x v="2"/>
    <x v="0"/>
    <x v="8"/>
    <x v="3"/>
    <x v="0"/>
    <x v="1"/>
  </r>
  <r>
    <x v="23"/>
    <x v="11"/>
    <x v="8"/>
    <n v="26.4"/>
    <n v="211.2"/>
    <x v="0"/>
    <d v="2025-01-02T00:00:00"/>
    <x v="2"/>
    <x v="3"/>
    <x v="0"/>
    <x v="0"/>
    <x v="8"/>
    <x v="3"/>
    <x v="0"/>
    <x v="2"/>
  </r>
  <r>
    <x v="24"/>
    <x v="12"/>
    <x v="8"/>
    <n v="88.8"/>
    <n v="710.4"/>
    <x v="0"/>
    <d v="2025-01-02T00:00:00"/>
    <x v="2"/>
    <x v="4"/>
    <x v="0"/>
    <x v="0"/>
    <x v="8"/>
    <x v="3"/>
    <x v="0"/>
    <x v="2"/>
  </r>
  <r>
    <x v="25"/>
    <x v="0"/>
    <x v="7"/>
    <n v="17.5"/>
    <n v="175"/>
    <x v="0"/>
    <d v="2025-01-02T00:00:00"/>
    <x v="2"/>
    <x v="2"/>
    <x v="0"/>
    <x v="0"/>
    <x v="9"/>
    <x v="3"/>
    <x v="0"/>
    <x v="2"/>
  </r>
  <r>
    <x v="26"/>
    <x v="1"/>
    <x v="11"/>
    <n v="38.700000000000003"/>
    <n v="348.3"/>
    <x v="0"/>
    <d v="2025-01-04T00:00:00"/>
    <x v="1"/>
    <x v="1"/>
    <x v="0"/>
    <x v="0"/>
    <x v="10"/>
    <x v="2"/>
    <x v="0"/>
    <x v="1"/>
  </r>
  <r>
    <x v="27"/>
    <x v="13"/>
    <x v="12"/>
    <n v="57.2"/>
    <n v="228.8"/>
    <x v="0"/>
    <d v="2025-01-03T00:00:00"/>
    <x v="0"/>
    <x v="1"/>
    <x v="2"/>
    <x v="0"/>
    <x v="11"/>
    <x v="1"/>
    <x v="0"/>
    <x v="0"/>
  </r>
  <r>
    <x v="28"/>
    <x v="6"/>
    <x v="9"/>
    <n v="50.9"/>
    <n v="254.5"/>
    <x v="0"/>
    <d v="2025-01-07T00:00:00"/>
    <x v="0"/>
    <x v="1"/>
    <x v="2"/>
    <x v="0"/>
    <x v="12"/>
    <x v="4"/>
    <x v="0"/>
    <x v="0"/>
  </r>
  <r>
    <x v="29"/>
    <x v="14"/>
    <x v="3"/>
    <n v="41"/>
    <n v="287"/>
    <x v="0"/>
    <d v="2025-01-05T00:00:00"/>
    <x v="2"/>
    <x v="1"/>
    <x v="0"/>
    <x v="0"/>
    <x v="13"/>
    <x v="5"/>
    <x v="0"/>
    <x v="2"/>
  </r>
  <r>
    <x v="30"/>
    <x v="8"/>
    <x v="3"/>
    <n v="19.100000000000001"/>
    <n v="133.70000000000002"/>
    <x v="0"/>
    <d v="2025-01-05T00:00:00"/>
    <x v="1"/>
    <x v="0"/>
    <x v="2"/>
    <x v="0"/>
    <x v="14"/>
    <x v="5"/>
    <x v="0"/>
    <x v="1"/>
  </r>
  <r>
    <x v="31"/>
    <x v="2"/>
    <x v="9"/>
    <n v="166.1"/>
    <n v="830.5"/>
    <x v="0"/>
    <d v="2025-01-04T00:00:00"/>
    <x v="1"/>
    <x v="0"/>
    <x v="0"/>
    <x v="0"/>
    <x v="15"/>
    <x v="2"/>
    <x v="0"/>
    <x v="1"/>
  </r>
  <r>
    <x v="32"/>
    <x v="4"/>
    <x v="2"/>
    <n v="29.9"/>
    <n v="89.699999999999989"/>
    <x v="0"/>
    <d v="2025-01-02T00:00:00"/>
    <x v="1"/>
    <x v="3"/>
    <x v="0"/>
    <x v="0"/>
    <x v="3"/>
    <x v="3"/>
    <x v="0"/>
    <x v="1"/>
  </r>
  <r>
    <x v="33"/>
    <x v="10"/>
    <x v="13"/>
    <n v="21.7"/>
    <n v="130.19999999999999"/>
    <x v="0"/>
    <d v="2025-01-03T00:00:00"/>
    <x v="3"/>
    <x v="2"/>
    <x v="2"/>
    <x v="0"/>
    <x v="3"/>
    <x v="1"/>
    <x v="0"/>
    <x v="3"/>
  </r>
  <r>
    <x v="34"/>
    <x v="11"/>
    <x v="1"/>
    <n v="32"/>
    <n v="64"/>
    <x v="0"/>
    <d v="2025-01-04T00:00:00"/>
    <x v="1"/>
    <x v="0"/>
    <x v="2"/>
    <x v="0"/>
    <x v="3"/>
    <x v="2"/>
    <x v="0"/>
    <x v="1"/>
  </r>
  <r>
    <x v="35"/>
    <x v="8"/>
    <x v="1"/>
    <n v="15.8"/>
    <n v="31.6"/>
    <x v="0"/>
    <d v="2025-01-02T00:00:00"/>
    <x v="1"/>
    <x v="4"/>
    <x v="2"/>
    <x v="0"/>
    <x v="3"/>
    <x v="3"/>
    <x v="0"/>
    <x v="1"/>
  </r>
  <r>
    <x v="36"/>
    <x v="2"/>
    <x v="14"/>
    <n v="203.1"/>
    <n v="3452.7"/>
    <x v="0"/>
    <d v="2025-01-05T00:00:00"/>
    <x v="1"/>
    <x v="3"/>
    <x v="1"/>
    <x v="0"/>
    <x v="3"/>
    <x v="5"/>
    <x v="0"/>
    <x v="1"/>
  </r>
  <r>
    <x v="37"/>
    <x v="7"/>
    <x v="15"/>
    <n v="39"/>
    <n v="507"/>
    <x v="0"/>
    <d v="2025-01-07T00:00:00"/>
    <x v="1"/>
    <x v="0"/>
    <x v="2"/>
    <x v="0"/>
    <x v="3"/>
    <x v="4"/>
    <x v="0"/>
    <x v="1"/>
  </r>
  <r>
    <x v="38"/>
    <x v="10"/>
    <x v="0"/>
    <n v="26.5"/>
    <n v="26.5"/>
    <x v="1"/>
    <d v="2025-01-03T00:00:00"/>
    <x v="1"/>
    <x v="2"/>
    <x v="0"/>
    <x v="0"/>
    <x v="3"/>
    <x v="3"/>
    <x v="0"/>
    <x v="1"/>
  </r>
  <r>
    <x v="39"/>
    <x v="5"/>
    <x v="0"/>
    <n v="43.1"/>
    <n v="43.1"/>
    <x v="1"/>
    <d v="2025-01-03T00:00:00"/>
    <x v="2"/>
    <x v="2"/>
    <x v="1"/>
    <x v="0"/>
    <x v="3"/>
    <x v="3"/>
    <x v="0"/>
    <x v="2"/>
  </r>
  <r>
    <x v="40"/>
    <x v="1"/>
    <x v="2"/>
    <n v="139"/>
    <n v="417"/>
    <x v="1"/>
    <d v="2025-01-03T00:00:00"/>
    <x v="2"/>
    <x v="4"/>
    <x v="2"/>
    <x v="0"/>
    <x v="3"/>
    <x v="3"/>
    <x v="0"/>
    <x v="2"/>
  </r>
  <r>
    <x v="41"/>
    <x v="12"/>
    <x v="0"/>
    <n v="80.7"/>
    <n v="80.7"/>
    <x v="1"/>
    <d v="2025-01-03T00:00:00"/>
    <x v="1"/>
    <x v="0"/>
    <x v="2"/>
    <x v="0"/>
    <x v="16"/>
    <x v="3"/>
    <x v="0"/>
    <x v="1"/>
  </r>
  <r>
    <x v="42"/>
    <x v="4"/>
    <x v="1"/>
    <n v="54.5"/>
    <n v="109"/>
    <x v="1"/>
    <d v="2025-01-04T00:00:00"/>
    <x v="1"/>
    <x v="1"/>
    <x v="1"/>
    <x v="0"/>
    <x v="6"/>
    <x v="1"/>
    <x v="0"/>
    <x v="1"/>
  </r>
  <r>
    <x v="43"/>
    <x v="6"/>
    <x v="2"/>
    <n v="68.599999999999994"/>
    <n v="205.79999999999998"/>
    <x v="1"/>
    <d v="2025-01-02T00:00:00"/>
    <x v="2"/>
    <x v="0"/>
    <x v="1"/>
    <x v="0"/>
    <x v="8"/>
    <x v="7"/>
    <x v="0"/>
    <x v="2"/>
  </r>
  <r>
    <x v="44"/>
    <x v="2"/>
    <x v="12"/>
    <n v="135.9"/>
    <n v="543.6"/>
    <x v="1"/>
    <d v="2025-01-03T00:00:00"/>
    <x v="2"/>
    <x v="2"/>
    <x v="2"/>
    <x v="0"/>
    <x v="8"/>
    <x v="3"/>
    <x v="0"/>
    <x v="2"/>
  </r>
  <r>
    <x v="45"/>
    <x v="2"/>
    <x v="12"/>
    <n v="70.900000000000006"/>
    <n v="283.60000000000002"/>
    <x v="1"/>
    <d v="2025-01-03T00:00:00"/>
    <x v="2"/>
    <x v="0"/>
    <x v="0"/>
    <x v="0"/>
    <x v="17"/>
    <x v="3"/>
    <x v="0"/>
    <x v="2"/>
  </r>
  <r>
    <x v="46"/>
    <x v="1"/>
    <x v="9"/>
    <n v="63.7"/>
    <n v="318.5"/>
    <x v="1"/>
    <d v="2025-01-03T00:00:00"/>
    <x v="1"/>
    <x v="1"/>
    <x v="1"/>
    <x v="0"/>
    <x v="9"/>
    <x v="3"/>
    <x v="0"/>
    <x v="1"/>
  </r>
  <r>
    <x v="47"/>
    <x v="13"/>
    <x v="0"/>
    <n v="29.7"/>
    <n v="29.7"/>
    <x v="1"/>
    <d v="2025-01-04T00:00:00"/>
    <x v="2"/>
    <x v="1"/>
    <x v="0"/>
    <x v="0"/>
    <x v="11"/>
    <x v="1"/>
    <x v="0"/>
    <x v="2"/>
  </r>
  <r>
    <x v="48"/>
    <x v="4"/>
    <x v="2"/>
    <n v="26.8"/>
    <n v="80.400000000000006"/>
    <x v="1"/>
    <d v="2025-01-11T00:00:00"/>
    <x v="2"/>
    <x v="1"/>
    <x v="2"/>
    <x v="0"/>
    <x v="11"/>
    <x v="8"/>
    <x v="0"/>
    <x v="2"/>
  </r>
  <r>
    <x v="49"/>
    <x v="14"/>
    <x v="0"/>
    <n v="27"/>
    <n v="27"/>
    <x v="1"/>
    <d v="2025-01-04T00:00:00"/>
    <x v="2"/>
    <x v="0"/>
    <x v="0"/>
    <x v="0"/>
    <x v="18"/>
    <x v="1"/>
    <x v="0"/>
    <x v="2"/>
  </r>
  <r>
    <x v="50"/>
    <x v="8"/>
    <x v="0"/>
    <n v="41.4"/>
    <n v="41.4"/>
    <x v="1"/>
    <d v="2025-01-03T00:00:00"/>
    <x v="1"/>
    <x v="1"/>
    <x v="2"/>
    <x v="0"/>
    <x v="19"/>
    <x v="3"/>
    <x v="0"/>
    <x v="1"/>
  </r>
  <r>
    <x v="51"/>
    <x v="8"/>
    <x v="1"/>
    <n v="24.3"/>
    <n v="48.6"/>
    <x v="1"/>
    <d v="2025-01-05T00:00:00"/>
    <x v="2"/>
    <x v="1"/>
    <x v="0"/>
    <x v="0"/>
    <x v="19"/>
    <x v="2"/>
    <x v="0"/>
    <x v="2"/>
  </r>
  <r>
    <x v="52"/>
    <x v="8"/>
    <x v="2"/>
    <n v="41.7"/>
    <n v="125.10000000000001"/>
    <x v="1"/>
    <d v="2025-01-04T00:00:00"/>
    <x v="1"/>
    <x v="0"/>
    <x v="2"/>
    <x v="0"/>
    <x v="20"/>
    <x v="1"/>
    <x v="0"/>
    <x v="1"/>
  </r>
  <r>
    <x v="53"/>
    <x v="0"/>
    <x v="1"/>
    <n v="18"/>
    <n v="36"/>
    <x v="1"/>
    <d v="2025-01-03T00:00:00"/>
    <x v="2"/>
    <x v="0"/>
    <x v="2"/>
    <x v="0"/>
    <x v="21"/>
    <x v="3"/>
    <x v="0"/>
    <x v="2"/>
  </r>
  <r>
    <x v="54"/>
    <x v="7"/>
    <x v="2"/>
    <n v="91.3"/>
    <n v="273.89999999999998"/>
    <x v="1"/>
    <d v="2025-01-05T00:00:00"/>
    <x v="1"/>
    <x v="2"/>
    <x v="2"/>
    <x v="0"/>
    <x v="3"/>
    <x v="2"/>
    <x v="0"/>
    <x v="1"/>
  </r>
  <r>
    <x v="55"/>
    <x v="8"/>
    <x v="8"/>
    <n v="19.3"/>
    <n v="154.4"/>
    <x v="1"/>
    <d v="2025-01-03T00:00:00"/>
    <x v="1"/>
    <x v="0"/>
    <x v="0"/>
    <x v="0"/>
    <x v="3"/>
    <x v="3"/>
    <x v="0"/>
    <x v="1"/>
  </r>
  <r>
    <x v="56"/>
    <x v="12"/>
    <x v="15"/>
    <n v="63.2"/>
    <n v="821.6"/>
    <x v="1"/>
    <d v="2025-01-03T00:00:00"/>
    <x v="2"/>
    <x v="0"/>
    <x v="0"/>
    <x v="0"/>
    <x v="3"/>
    <x v="3"/>
    <x v="0"/>
    <x v="2"/>
  </r>
  <r>
    <x v="57"/>
    <x v="10"/>
    <x v="11"/>
    <n v="33.299999999999997"/>
    <n v="299.7"/>
    <x v="2"/>
    <d v="2025-01-11T00:00:00"/>
    <x v="2"/>
    <x v="0"/>
    <x v="2"/>
    <x v="0"/>
    <x v="3"/>
    <x v="9"/>
    <x v="0"/>
    <x v="2"/>
  </r>
  <r>
    <x v="58"/>
    <x v="7"/>
    <x v="1"/>
    <n v="64.2"/>
    <n v="128.4"/>
    <x v="2"/>
    <d v="2025-01-04T00:00:00"/>
    <x v="1"/>
    <x v="0"/>
    <x v="2"/>
    <x v="0"/>
    <x v="3"/>
    <x v="3"/>
    <x v="0"/>
    <x v="1"/>
  </r>
  <r>
    <x v="59"/>
    <x v="9"/>
    <x v="2"/>
    <n v="23.1"/>
    <n v="69.300000000000011"/>
    <x v="2"/>
    <d v="2025-01-06T00:00:00"/>
    <x v="2"/>
    <x v="1"/>
    <x v="2"/>
    <x v="0"/>
    <x v="3"/>
    <x v="2"/>
    <x v="0"/>
    <x v="2"/>
  </r>
  <r>
    <x v="60"/>
    <x v="15"/>
    <x v="1"/>
    <n v="71.099999999999994"/>
    <n v="142.19999999999999"/>
    <x v="2"/>
    <d v="2025-01-05T00:00:00"/>
    <x v="2"/>
    <x v="3"/>
    <x v="1"/>
    <x v="0"/>
    <x v="3"/>
    <x v="1"/>
    <x v="0"/>
    <x v="2"/>
  </r>
  <r>
    <x v="61"/>
    <x v="0"/>
    <x v="1"/>
    <n v="11.5"/>
    <n v="23"/>
    <x v="2"/>
    <d v="2025-01-04T00:00:00"/>
    <x v="2"/>
    <x v="0"/>
    <x v="0"/>
    <x v="0"/>
    <x v="3"/>
    <x v="3"/>
    <x v="0"/>
    <x v="2"/>
  </r>
  <r>
    <x v="62"/>
    <x v="15"/>
    <x v="10"/>
    <n v="69.2"/>
    <n v="1314.8"/>
    <x v="2"/>
    <d v="2025-01-08T00:00:00"/>
    <x v="2"/>
    <x v="0"/>
    <x v="0"/>
    <x v="0"/>
    <x v="3"/>
    <x v="0"/>
    <x v="0"/>
    <x v="2"/>
  </r>
  <r>
    <x v="63"/>
    <x v="0"/>
    <x v="0"/>
    <n v="26.8"/>
    <n v="26.8"/>
    <x v="2"/>
    <d v="2025-01-04T00:00:00"/>
    <x v="1"/>
    <x v="2"/>
    <x v="4"/>
    <x v="0"/>
    <x v="3"/>
    <x v="3"/>
    <x v="0"/>
    <x v="1"/>
  </r>
  <r>
    <x v="64"/>
    <x v="16"/>
    <x v="2"/>
    <n v="31.2"/>
    <n v="93.6"/>
    <x v="2"/>
    <d v="2025-01-06T00:00:00"/>
    <x v="2"/>
    <x v="0"/>
    <x v="0"/>
    <x v="0"/>
    <x v="3"/>
    <x v="2"/>
    <x v="0"/>
    <x v="2"/>
  </r>
  <r>
    <x v="65"/>
    <x v="12"/>
    <x v="1"/>
    <n v="113.2"/>
    <n v="226.4"/>
    <x v="2"/>
    <d v="2025-01-04T00:00:00"/>
    <x v="2"/>
    <x v="4"/>
    <x v="0"/>
    <x v="0"/>
    <x v="3"/>
    <x v="3"/>
    <x v="0"/>
    <x v="2"/>
  </r>
  <r>
    <x v="66"/>
    <x v="10"/>
    <x v="8"/>
    <n v="21"/>
    <n v="168"/>
    <x v="2"/>
    <d v="2025-01-04T00:00:00"/>
    <x v="1"/>
    <x v="0"/>
    <x v="0"/>
    <x v="0"/>
    <x v="6"/>
    <x v="3"/>
    <x v="0"/>
    <x v="1"/>
  </r>
  <r>
    <x v="67"/>
    <x v="1"/>
    <x v="1"/>
    <n v="89.1"/>
    <n v="178.2"/>
    <x v="2"/>
    <d v="2025-01-04T00:00:00"/>
    <x v="2"/>
    <x v="2"/>
    <x v="2"/>
    <x v="0"/>
    <x v="6"/>
    <x v="3"/>
    <x v="0"/>
    <x v="2"/>
  </r>
  <r>
    <x v="68"/>
    <x v="1"/>
    <x v="0"/>
    <n v="97.7"/>
    <n v="97.7"/>
    <x v="2"/>
    <d v="2025-01-05T00:00:00"/>
    <x v="2"/>
    <x v="0"/>
    <x v="1"/>
    <x v="0"/>
    <x v="6"/>
    <x v="1"/>
    <x v="0"/>
    <x v="2"/>
  </r>
  <r>
    <x v="69"/>
    <x v="15"/>
    <x v="12"/>
    <n v="97.7"/>
    <n v="390.8"/>
    <x v="2"/>
    <d v="2025-01-05T00:00:00"/>
    <x v="1"/>
    <x v="3"/>
    <x v="0"/>
    <x v="0"/>
    <x v="6"/>
    <x v="1"/>
    <x v="0"/>
    <x v="1"/>
  </r>
  <r>
    <x v="70"/>
    <x v="17"/>
    <x v="2"/>
    <n v="47.4"/>
    <n v="142.19999999999999"/>
    <x v="2"/>
    <d v="2025-01-06T00:00:00"/>
    <x v="1"/>
    <x v="3"/>
    <x v="2"/>
    <x v="0"/>
    <x v="8"/>
    <x v="2"/>
    <x v="0"/>
    <x v="1"/>
  </r>
  <r>
    <x v="71"/>
    <x v="7"/>
    <x v="0"/>
    <n v="89.6"/>
    <n v="89.6"/>
    <x v="2"/>
    <d v="2025-01-06T00:00:00"/>
    <x v="2"/>
    <x v="0"/>
    <x v="2"/>
    <x v="0"/>
    <x v="8"/>
    <x v="2"/>
    <x v="0"/>
    <x v="2"/>
  </r>
  <r>
    <x v="72"/>
    <x v="10"/>
    <x v="16"/>
    <n v="28.4"/>
    <n v="511.2"/>
    <x v="2"/>
    <d v="2025-01-06T00:00:00"/>
    <x v="2"/>
    <x v="3"/>
    <x v="2"/>
    <x v="0"/>
    <x v="17"/>
    <x v="2"/>
    <x v="0"/>
    <x v="2"/>
  </r>
  <r>
    <x v="73"/>
    <x v="0"/>
    <x v="1"/>
    <n v="17.899999999999999"/>
    <n v="35.799999999999997"/>
    <x v="2"/>
    <d v="2025-01-04T00:00:00"/>
    <x v="2"/>
    <x v="0"/>
    <x v="2"/>
    <x v="0"/>
    <x v="9"/>
    <x v="3"/>
    <x v="0"/>
    <x v="2"/>
  </r>
  <r>
    <x v="74"/>
    <x v="9"/>
    <x v="1"/>
    <n v="48.4"/>
    <n v="96.8"/>
    <x v="2"/>
    <d v="2025-01-06T00:00:00"/>
    <x v="1"/>
    <x v="1"/>
    <x v="0"/>
    <x v="0"/>
    <x v="9"/>
    <x v="2"/>
    <x v="0"/>
    <x v="1"/>
  </r>
  <r>
    <x v="75"/>
    <x v="12"/>
    <x v="12"/>
    <n v="44.4"/>
    <n v="177.6"/>
    <x v="2"/>
    <d v="2025-01-04T00:00:00"/>
    <x v="3"/>
    <x v="1"/>
    <x v="1"/>
    <x v="0"/>
    <x v="11"/>
    <x v="3"/>
    <x v="0"/>
    <x v="3"/>
  </r>
  <r>
    <x v="76"/>
    <x v="2"/>
    <x v="8"/>
    <n v="103.7"/>
    <n v="829.6"/>
    <x v="2"/>
    <d v="2025-01-04T00:00:00"/>
    <x v="2"/>
    <x v="0"/>
    <x v="1"/>
    <x v="0"/>
    <x v="19"/>
    <x v="3"/>
    <x v="0"/>
    <x v="2"/>
  </r>
  <r>
    <x v="77"/>
    <x v="5"/>
    <x v="12"/>
    <n v="58.6"/>
    <n v="234.4"/>
    <x v="2"/>
    <d v="2025-01-05T00:00:00"/>
    <x v="1"/>
    <x v="3"/>
    <x v="0"/>
    <x v="0"/>
    <x v="19"/>
    <x v="1"/>
    <x v="0"/>
    <x v="1"/>
  </r>
  <r>
    <x v="78"/>
    <x v="9"/>
    <x v="12"/>
    <n v="54.8"/>
    <n v="219.2"/>
    <x v="2"/>
    <d v="2025-01-07T00:00:00"/>
    <x v="2"/>
    <x v="2"/>
    <x v="1"/>
    <x v="0"/>
    <x v="13"/>
    <x v="5"/>
    <x v="0"/>
    <x v="2"/>
  </r>
  <r>
    <x v="79"/>
    <x v="12"/>
    <x v="2"/>
    <n v="78.8"/>
    <n v="236.39999999999998"/>
    <x v="2"/>
    <d v="2025-01-09T00:00:00"/>
    <x v="2"/>
    <x v="4"/>
    <x v="1"/>
    <x v="0"/>
    <x v="21"/>
    <x v="4"/>
    <x v="0"/>
    <x v="2"/>
  </r>
  <r>
    <x v="80"/>
    <x v="18"/>
    <x v="9"/>
    <n v="36.799999999999997"/>
    <n v="184"/>
    <x v="2"/>
    <d v="2025-01-06T00:00:00"/>
    <x v="1"/>
    <x v="4"/>
    <x v="1"/>
    <x v="0"/>
    <x v="22"/>
    <x v="2"/>
    <x v="0"/>
    <x v="1"/>
  </r>
  <r>
    <x v="81"/>
    <x v="6"/>
    <x v="13"/>
    <n v="50.6"/>
    <n v="303.60000000000002"/>
    <x v="2"/>
    <d v="2025-01-05T00:00:00"/>
    <x v="2"/>
    <x v="3"/>
    <x v="0"/>
    <x v="0"/>
    <x v="3"/>
    <x v="1"/>
    <x v="0"/>
    <x v="2"/>
  </r>
  <r>
    <x v="82"/>
    <x v="15"/>
    <x v="2"/>
    <n v="36.799999999999997"/>
    <n v="110.39999999999999"/>
    <x v="2"/>
    <d v="2025-01-03T00:00:00"/>
    <x v="1"/>
    <x v="2"/>
    <x v="1"/>
    <x v="0"/>
    <x v="3"/>
    <x v="7"/>
    <x v="0"/>
    <x v="1"/>
  </r>
  <r>
    <x v="83"/>
    <x v="8"/>
    <x v="11"/>
    <n v="41.8"/>
    <n v="376.2"/>
    <x v="3"/>
    <d v="2025-01-10T00:00:00"/>
    <x v="2"/>
    <x v="3"/>
    <x v="0"/>
    <x v="0"/>
    <x v="3"/>
    <x v="4"/>
    <x v="0"/>
    <x v="2"/>
  </r>
  <r>
    <x v="84"/>
    <x v="18"/>
    <x v="0"/>
    <n v="77.3"/>
    <n v="77.3"/>
    <x v="3"/>
    <d v="2025-01-05T00:00:00"/>
    <x v="1"/>
    <x v="4"/>
    <x v="4"/>
    <x v="0"/>
    <x v="3"/>
    <x v="3"/>
    <x v="0"/>
    <x v="1"/>
  </r>
  <r>
    <x v="85"/>
    <x v="8"/>
    <x v="12"/>
    <n v="19.8"/>
    <n v="79.2"/>
    <x v="3"/>
    <d v="2025-01-10T00:00:00"/>
    <x v="1"/>
    <x v="1"/>
    <x v="2"/>
    <x v="0"/>
    <x v="3"/>
    <x v="4"/>
    <x v="0"/>
    <x v="1"/>
  </r>
  <r>
    <x v="86"/>
    <x v="13"/>
    <x v="12"/>
    <n v="15.5"/>
    <n v="62"/>
    <x v="3"/>
    <d v="2025-01-05T00:00:00"/>
    <x v="2"/>
    <x v="1"/>
    <x v="2"/>
    <x v="0"/>
    <x v="3"/>
    <x v="3"/>
    <x v="0"/>
    <x v="2"/>
  </r>
  <r>
    <x v="87"/>
    <x v="12"/>
    <x v="0"/>
    <n v="46.8"/>
    <n v="46.8"/>
    <x v="3"/>
    <d v="2025-01-08T00:00:00"/>
    <x v="1"/>
    <x v="0"/>
    <x v="2"/>
    <x v="0"/>
    <x v="3"/>
    <x v="5"/>
    <x v="0"/>
    <x v="1"/>
  </r>
  <r>
    <x v="88"/>
    <x v="9"/>
    <x v="11"/>
    <n v="28.6"/>
    <n v="257.40000000000003"/>
    <x v="3"/>
    <d v="2025-01-08T00:00:00"/>
    <x v="1"/>
    <x v="0"/>
    <x v="2"/>
    <x v="0"/>
    <x v="3"/>
    <x v="5"/>
    <x v="0"/>
    <x v="1"/>
  </r>
  <r>
    <x v="89"/>
    <x v="2"/>
    <x v="0"/>
    <n v="97.7"/>
    <n v="97.7"/>
    <x v="3"/>
    <d v="2025-01-07T00:00:00"/>
    <x v="2"/>
    <x v="1"/>
    <x v="0"/>
    <x v="0"/>
    <x v="3"/>
    <x v="2"/>
    <x v="0"/>
    <x v="2"/>
  </r>
  <r>
    <x v="90"/>
    <x v="9"/>
    <x v="9"/>
    <n v="54.7"/>
    <n v="273.5"/>
    <x v="3"/>
    <d v="2025-01-07T00:00:00"/>
    <x v="0"/>
    <x v="0"/>
    <x v="2"/>
    <x v="0"/>
    <x v="23"/>
    <x v="2"/>
    <x v="0"/>
    <x v="0"/>
  </r>
  <r>
    <x v="91"/>
    <x v="2"/>
    <x v="13"/>
    <n v="130.5"/>
    <n v="783"/>
    <x v="3"/>
    <d v="2025-01-06T00:00:00"/>
    <x v="2"/>
    <x v="0"/>
    <x v="1"/>
    <x v="0"/>
    <x v="23"/>
    <x v="1"/>
    <x v="0"/>
    <x v="2"/>
  </r>
  <r>
    <x v="92"/>
    <x v="11"/>
    <x v="1"/>
    <n v="50.4"/>
    <n v="100.8"/>
    <x v="3"/>
    <d v="2025-01-06T00:00:00"/>
    <x v="1"/>
    <x v="2"/>
    <x v="2"/>
    <x v="0"/>
    <x v="6"/>
    <x v="1"/>
    <x v="0"/>
    <x v="1"/>
  </r>
  <r>
    <x v="93"/>
    <x v="6"/>
    <x v="15"/>
    <n v="61.5"/>
    <n v="799.5"/>
    <x v="3"/>
    <d v="2025-01-05T00:00:00"/>
    <x v="0"/>
    <x v="3"/>
    <x v="1"/>
    <x v="0"/>
    <x v="11"/>
    <x v="3"/>
    <x v="0"/>
    <x v="0"/>
  </r>
  <r>
    <x v="94"/>
    <x v="9"/>
    <x v="12"/>
    <n v="30.1"/>
    <n v="120.4"/>
    <x v="3"/>
    <d v="2025-01-05T00:00:00"/>
    <x v="2"/>
    <x v="0"/>
    <x v="2"/>
    <x v="0"/>
    <x v="21"/>
    <x v="3"/>
    <x v="0"/>
    <x v="2"/>
  </r>
  <r>
    <x v="95"/>
    <x v="2"/>
    <x v="9"/>
    <n v="74.8"/>
    <n v="374"/>
    <x v="3"/>
    <d v="2025-01-05T00:00:00"/>
    <x v="2"/>
    <x v="1"/>
    <x v="0"/>
    <x v="0"/>
    <x v="1"/>
    <x v="3"/>
    <x v="0"/>
    <x v="2"/>
  </r>
  <r>
    <x v="96"/>
    <x v="16"/>
    <x v="2"/>
    <n v="64.900000000000006"/>
    <n v="194.70000000000002"/>
    <x v="3"/>
    <d v="2025-01-11T00:00:00"/>
    <x v="1"/>
    <x v="0"/>
    <x v="0"/>
    <x v="0"/>
    <x v="2"/>
    <x v="6"/>
    <x v="0"/>
    <x v="1"/>
  </r>
  <r>
    <x v="97"/>
    <x v="9"/>
    <x v="1"/>
    <n v="50.5"/>
    <n v="101"/>
    <x v="3"/>
    <d v="2025-01-06T00:00:00"/>
    <x v="1"/>
    <x v="1"/>
    <x v="0"/>
    <x v="0"/>
    <x v="22"/>
    <x v="1"/>
    <x v="0"/>
    <x v="1"/>
  </r>
  <r>
    <x v="98"/>
    <x v="11"/>
    <x v="3"/>
    <n v="63"/>
    <n v="441"/>
    <x v="3"/>
    <d v="2025-01-07T00:00:00"/>
    <x v="1"/>
    <x v="3"/>
    <x v="2"/>
    <x v="0"/>
    <x v="3"/>
    <x v="2"/>
    <x v="0"/>
    <x v="1"/>
  </r>
  <r>
    <x v="99"/>
    <x v="2"/>
    <x v="2"/>
    <n v="93.6"/>
    <n v="280.79999999999995"/>
    <x v="3"/>
    <d v="2025-01-17T00:00:00"/>
    <x v="2"/>
    <x v="0"/>
    <x v="2"/>
    <x v="0"/>
    <x v="3"/>
    <x v="10"/>
    <x v="0"/>
    <x v="2"/>
  </r>
  <r>
    <x v="100"/>
    <x v="5"/>
    <x v="17"/>
    <n v="41.4"/>
    <n v="1242"/>
    <x v="3"/>
    <d v="2025-01-08T00:00:00"/>
    <x v="1"/>
    <x v="2"/>
    <x v="2"/>
    <x v="0"/>
    <x v="3"/>
    <x v="5"/>
    <x v="0"/>
    <x v="1"/>
  </r>
  <r>
    <x v="101"/>
    <x v="2"/>
    <x v="1"/>
    <n v="160"/>
    <n v="320"/>
    <x v="4"/>
    <d v="2025-01-06T00:00:00"/>
    <x v="1"/>
    <x v="2"/>
    <x v="2"/>
    <x v="0"/>
    <x v="5"/>
    <x v="3"/>
    <x v="1"/>
    <x v="1"/>
  </r>
  <r>
    <x v="102"/>
    <x v="19"/>
    <x v="5"/>
    <n v="10.5"/>
    <n v="115.5"/>
    <x v="4"/>
    <d v="2025-01-08T00:00:00"/>
    <x v="2"/>
    <x v="4"/>
    <x v="0"/>
    <x v="0"/>
    <x v="8"/>
    <x v="2"/>
    <x v="1"/>
    <x v="2"/>
  </r>
  <r>
    <x v="103"/>
    <x v="10"/>
    <x v="1"/>
    <n v="53"/>
    <n v="106"/>
    <x v="4"/>
    <d v="2025-01-05T00:00:00"/>
    <x v="1"/>
    <x v="2"/>
    <x v="4"/>
    <x v="0"/>
    <x v="17"/>
    <x v="7"/>
    <x v="1"/>
    <x v="1"/>
  </r>
  <r>
    <x v="104"/>
    <x v="8"/>
    <x v="2"/>
    <n v="18.5"/>
    <n v="55.5"/>
    <x v="4"/>
    <d v="2025-01-10T00:00:00"/>
    <x v="2"/>
    <x v="1"/>
    <x v="2"/>
    <x v="0"/>
    <x v="11"/>
    <x v="0"/>
    <x v="1"/>
    <x v="2"/>
  </r>
  <r>
    <x v="105"/>
    <x v="16"/>
    <x v="2"/>
    <n v="84.5"/>
    <n v="253.5"/>
    <x v="4"/>
    <d v="2025-01-07T00:00:00"/>
    <x v="2"/>
    <x v="4"/>
    <x v="1"/>
    <x v="0"/>
    <x v="13"/>
    <x v="1"/>
    <x v="1"/>
    <x v="2"/>
  </r>
  <r>
    <x v="106"/>
    <x v="15"/>
    <x v="3"/>
    <n v="31.2"/>
    <n v="218.4"/>
    <x v="4"/>
    <d v="2025-01-05T00:00:00"/>
    <x v="2"/>
    <x v="2"/>
    <x v="2"/>
    <x v="0"/>
    <x v="3"/>
    <x v="7"/>
    <x v="1"/>
    <x v="2"/>
  </r>
  <r>
    <x v="107"/>
    <x v="8"/>
    <x v="16"/>
    <n v="32.6"/>
    <n v="586.80000000000007"/>
    <x v="4"/>
    <d v="2025-01-06T00:00:00"/>
    <x v="1"/>
    <x v="1"/>
    <x v="1"/>
    <x v="0"/>
    <x v="3"/>
    <x v="3"/>
    <x v="1"/>
    <x v="1"/>
  </r>
  <r>
    <x v="108"/>
    <x v="10"/>
    <x v="12"/>
    <n v="45.4"/>
    <n v="181.6"/>
    <x v="4"/>
    <d v="2025-01-07T00:00:00"/>
    <x v="1"/>
    <x v="1"/>
    <x v="0"/>
    <x v="0"/>
    <x v="3"/>
    <x v="1"/>
    <x v="1"/>
    <x v="1"/>
  </r>
  <r>
    <x v="109"/>
    <x v="2"/>
    <x v="4"/>
    <n v="120"/>
    <n v="1440"/>
    <x v="4"/>
    <d v="2025-01-06T00:00:00"/>
    <x v="2"/>
    <x v="2"/>
    <x v="4"/>
    <x v="0"/>
    <x v="3"/>
    <x v="3"/>
    <x v="1"/>
    <x v="2"/>
  </r>
  <r>
    <x v="110"/>
    <x v="0"/>
    <x v="12"/>
    <n v="18.899999999999999"/>
    <n v="75.599999999999994"/>
    <x v="4"/>
    <d v="2025-01-07T00:00:00"/>
    <x v="1"/>
    <x v="0"/>
    <x v="2"/>
    <x v="0"/>
    <x v="3"/>
    <x v="1"/>
    <x v="1"/>
    <x v="1"/>
  </r>
  <r>
    <x v="111"/>
    <x v="4"/>
    <x v="0"/>
    <n v="32"/>
    <n v="32"/>
    <x v="4"/>
    <d v="2025-01-07T00:00:00"/>
    <x v="2"/>
    <x v="4"/>
    <x v="0"/>
    <x v="0"/>
    <x v="3"/>
    <x v="1"/>
    <x v="1"/>
    <x v="2"/>
  </r>
  <r>
    <x v="112"/>
    <x v="7"/>
    <x v="1"/>
    <n v="37.299999999999997"/>
    <n v="74.599999999999994"/>
    <x v="4"/>
    <d v="2025-01-06T00:00:00"/>
    <x v="1"/>
    <x v="2"/>
    <x v="0"/>
    <x v="0"/>
    <x v="3"/>
    <x v="3"/>
    <x v="1"/>
    <x v="1"/>
  </r>
  <r>
    <x v="113"/>
    <x v="18"/>
    <x v="0"/>
    <n v="119.8"/>
    <n v="119.8"/>
    <x v="4"/>
    <d v="2025-01-06T00:00:00"/>
    <x v="1"/>
    <x v="1"/>
    <x v="1"/>
    <x v="0"/>
    <x v="3"/>
    <x v="3"/>
    <x v="1"/>
    <x v="1"/>
  </r>
  <r>
    <x v="114"/>
    <x v="10"/>
    <x v="1"/>
    <n v="26.4"/>
    <n v="52.8"/>
    <x v="4"/>
    <d v="2025-01-08T00:00:00"/>
    <x v="1"/>
    <x v="2"/>
    <x v="0"/>
    <x v="0"/>
    <x v="3"/>
    <x v="2"/>
    <x v="1"/>
    <x v="1"/>
  </r>
  <r>
    <x v="115"/>
    <x v="6"/>
    <x v="13"/>
    <n v="76.5"/>
    <n v="459"/>
    <x v="4"/>
    <d v="2025-01-06T00:00:00"/>
    <x v="2"/>
    <x v="1"/>
    <x v="1"/>
    <x v="0"/>
    <x v="3"/>
    <x v="3"/>
    <x v="1"/>
    <x v="2"/>
  </r>
  <r>
    <x v="116"/>
    <x v="4"/>
    <x v="7"/>
    <n v="45.7"/>
    <n v="457"/>
    <x v="4"/>
    <d v="2025-01-06T00:00:00"/>
    <x v="2"/>
    <x v="2"/>
    <x v="0"/>
    <x v="0"/>
    <x v="24"/>
    <x v="3"/>
    <x v="1"/>
    <x v="2"/>
  </r>
  <r>
    <x v="117"/>
    <x v="1"/>
    <x v="4"/>
    <n v="92.6"/>
    <n v="1111.1999999999998"/>
    <x v="4"/>
    <d v="2025-01-07T00:00:00"/>
    <x v="2"/>
    <x v="2"/>
    <x v="0"/>
    <x v="0"/>
    <x v="25"/>
    <x v="1"/>
    <x v="1"/>
    <x v="2"/>
  </r>
  <r>
    <x v="118"/>
    <x v="6"/>
    <x v="13"/>
    <n v="60.1"/>
    <n v="360.6"/>
    <x v="4"/>
    <d v="2025-01-06T00:00:00"/>
    <x v="1"/>
    <x v="1"/>
    <x v="0"/>
    <x v="0"/>
    <x v="23"/>
    <x v="3"/>
    <x v="1"/>
    <x v="1"/>
  </r>
  <r>
    <x v="119"/>
    <x v="1"/>
    <x v="2"/>
    <n v="73"/>
    <n v="219"/>
    <x v="4"/>
    <d v="2025-01-06T00:00:00"/>
    <x v="2"/>
    <x v="3"/>
    <x v="1"/>
    <x v="0"/>
    <x v="6"/>
    <x v="3"/>
    <x v="1"/>
    <x v="2"/>
  </r>
  <r>
    <x v="120"/>
    <x v="6"/>
    <x v="2"/>
    <n v="44.3"/>
    <n v="132.89999999999998"/>
    <x v="4"/>
    <d v="2025-01-09T00:00:00"/>
    <x v="0"/>
    <x v="2"/>
    <x v="2"/>
    <x v="0"/>
    <x v="6"/>
    <x v="5"/>
    <x v="1"/>
    <x v="0"/>
  </r>
  <r>
    <x v="121"/>
    <x v="6"/>
    <x v="2"/>
    <n v="63.3"/>
    <n v="189.89999999999998"/>
    <x v="4"/>
    <d v="2025-01-06T00:00:00"/>
    <x v="1"/>
    <x v="2"/>
    <x v="0"/>
    <x v="0"/>
    <x v="6"/>
    <x v="3"/>
    <x v="1"/>
    <x v="1"/>
  </r>
  <r>
    <x v="122"/>
    <x v="12"/>
    <x v="0"/>
    <n v="66.8"/>
    <n v="66.8"/>
    <x v="4"/>
    <d v="2025-01-06T00:00:00"/>
    <x v="2"/>
    <x v="1"/>
    <x v="0"/>
    <x v="0"/>
    <x v="6"/>
    <x v="3"/>
    <x v="1"/>
    <x v="2"/>
  </r>
  <r>
    <x v="123"/>
    <x v="2"/>
    <x v="1"/>
    <n v="59.7"/>
    <n v="119.4"/>
    <x v="4"/>
    <d v="2025-01-06T00:00:00"/>
    <x v="2"/>
    <x v="0"/>
    <x v="0"/>
    <x v="0"/>
    <x v="7"/>
    <x v="3"/>
    <x v="1"/>
    <x v="2"/>
  </r>
  <r>
    <x v="124"/>
    <x v="1"/>
    <x v="13"/>
    <n v="92"/>
    <n v="552"/>
    <x v="4"/>
    <d v="2025-01-07T00:00:00"/>
    <x v="1"/>
    <x v="0"/>
    <x v="4"/>
    <x v="0"/>
    <x v="7"/>
    <x v="1"/>
    <x v="1"/>
    <x v="1"/>
  </r>
  <r>
    <x v="125"/>
    <x v="7"/>
    <x v="1"/>
    <n v="87.6"/>
    <n v="175.2"/>
    <x v="4"/>
    <d v="2025-01-07T00:00:00"/>
    <x v="1"/>
    <x v="1"/>
    <x v="1"/>
    <x v="0"/>
    <x v="8"/>
    <x v="1"/>
    <x v="1"/>
    <x v="1"/>
  </r>
  <r>
    <x v="126"/>
    <x v="6"/>
    <x v="2"/>
    <n v="84.5"/>
    <n v="253.5"/>
    <x v="4"/>
    <d v="2025-01-06T00:00:00"/>
    <x v="2"/>
    <x v="1"/>
    <x v="1"/>
    <x v="0"/>
    <x v="8"/>
    <x v="3"/>
    <x v="1"/>
    <x v="2"/>
  </r>
  <r>
    <x v="127"/>
    <x v="1"/>
    <x v="1"/>
    <n v="116.3"/>
    <n v="232.6"/>
    <x v="5"/>
    <d v="2025-01-08T00:00:00"/>
    <x v="1"/>
    <x v="2"/>
    <x v="2"/>
    <x v="0"/>
    <x v="8"/>
    <x v="1"/>
    <x v="1"/>
    <x v="1"/>
  </r>
  <r>
    <x v="128"/>
    <x v="6"/>
    <x v="9"/>
    <n v="52.7"/>
    <n v="263.5"/>
    <x v="5"/>
    <d v="2025-01-10T00:00:00"/>
    <x v="1"/>
    <x v="0"/>
    <x v="0"/>
    <x v="0"/>
    <x v="8"/>
    <x v="5"/>
    <x v="1"/>
    <x v="1"/>
  </r>
  <r>
    <x v="129"/>
    <x v="16"/>
    <x v="2"/>
    <n v="34.200000000000003"/>
    <n v="102.60000000000001"/>
    <x v="5"/>
    <d v="2025-01-07T00:00:00"/>
    <x v="1"/>
    <x v="0"/>
    <x v="2"/>
    <x v="0"/>
    <x v="26"/>
    <x v="3"/>
    <x v="1"/>
    <x v="1"/>
  </r>
  <r>
    <x v="130"/>
    <x v="9"/>
    <x v="0"/>
    <n v="23.3"/>
    <n v="23.3"/>
    <x v="5"/>
    <d v="2025-01-15T00:00:00"/>
    <x v="3"/>
    <x v="2"/>
    <x v="2"/>
    <x v="0"/>
    <x v="9"/>
    <x v="8"/>
    <x v="1"/>
    <x v="3"/>
  </r>
  <r>
    <x v="131"/>
    <x v="0"/>
    <x v="18"/>
    <n v="25.9"/>
    <n v="673.4"/>
    <x v="5"/>
    <d v="2025-01-09T00:00:00"/>
    <x v="2"/>
    <x v="4"/>
    <x v="1"/>
    <x v="0"/>
    <x v="9"/>
    <x v="2"/>
    <x v="1"/>
    <x v="2"/>
  </r>
  <r>
    <x v="132"/>
    <x v="6"/>
    <x v="19"/>
    <n v="54.9"/>
    <n v="1592.1"/>
    <x v="5"/>
    <d v="2025-01-07T00:00:00"/>
    <x v="1"/>
    <x v="1"/>
    <x v="2"/>
    <x v="0"/>
    <x v="9"/>
    <x v="3"/>
    <x v="1"/>
    <x v="1"/>
  </r>
  <r>
    <x v="133"/>
    <x v="5"/>
    <x v="2"/>
    <n v="75.8"/>
    <n v="227.39999999999998"/>
    <x v="5"/>
    <d v="2025-01-11T00:00:00"/>
    <x v="3"/>
    <x v="1"/>
    <x v="0"/>
    <x v="0"/>
    <x v="18"/>
    <x v="0"/>
    <x v="1"/>
    <x v="3"/>
  </r>
  <r>
    <x v="134"/>
    <x v="1"/>
    <x v="11"/>
    <n v="44.9"/>
    <n v="404.09999999999997"/>
    <x v="5"/>
    <d v="2025-01-09T00:00:00"/>
    <x v="2"/>
    <x v="2"/>
    <x v="2"/>
    <x v="0"/>
    <x v="2"/>
    <x v="2"/>
    <x v="1"/>
    <x v="2"/>
  </r>
  <r>
    <x v="135"/>
    <x v="11"/>
    <x v="1"/>
    <n v="48.8"/>
    <n v="97.6"/>
    <x v="5"/>
    <d v="2025-01-08T00:00:00"/>
    <x v="2"/>
    <x v="3"/>
    <x v="0"/>
    <x v="0"/>
    <x v="27"/>
    <x v="1"/>
    <x v="1"/>
    <x v="2"/>
  </r>
  <r>
    <x v="136"/>
    <x v="15"/>
    <x v="0"/>
    <n v="20.3"/>
    <n v="20.3"/>
    <x v="5"/>
    <d v="2025-01-07T00:00:00"/>
    <x v="2"/>
    <x v="0"/>
    <x v="2"/>
    <x v="0"/>
    <x v="22"/>
    <x v="3"/>
    <x v="1"/>
    <x v="2"/>
  </r>
  <r>
    <x v="137"/>
    <x v="5"/>
    <x v="3"/>
    <n v="36.4"/>
    <n v="254.79999999999998"/>
    <x v="5"/>
    <d v="2025-01-09T00:00:00"/>
    <x v="2"/>
    <x v="0"/>
    <x v="1"/>
    <x v="0"/>
    <x v="3"/>
    <x v="2"/>
    <x v="1"/>
    <x v="2"/>
  </r>
  <r>
    <x v="138"/>
    <x v="0"/>
    <x v="0"/>
    <n v="19"/>
    <n v="19"/>
    <x v="5"/>
    <d v="2025-01-11T00:00:00"/>
    <x v="2"/>
    <x v="1"/>
    <x v="2"/>
    <x v="0"/>
    <x v="3"/>
    <x v="0"/>
    <x v="1"/>
    <x v="2"/>
  </r>
  <r>
    <x v="139"/>
    <x v="8"/>
    <x v="0"/>
    <n v="17.8"/>
    <n v="17.8"/>
    <x v="5"/>
    <d v="2025-01-06T00:00:00"/>
    <x v="1"/>
    <x v="0"/>
    <x v="0"/>
    <x v="0"/>
    <x v="3"/>
    <x v="7"/>
    <x v="1"/>
    <x v="1"/>
  </r>
  <r>
    <x v="140"/>
    <x v="2"/>
    <x v="13"/>
    <n v="139.6"/>
    <n v="837.59999999999991"/>
    <x v="5"/>
    <d v="2025-01-09T00:00:00"/>
    <x v="1"/>
    <x v="0"/>
    <x v="0"/>
    <x v="0"/>
    <x v="3"/>
    <x v="2"/>
    <x v="1"/>
    <x v="1"/>
  </r>
  <r>
    <x v="141"/>
    <x v="9"/>
    <x v="0"/>
    <n v="31.7"/>
    <n v="31.7"/>
    <x v="5"/>
    <d v="2025-01-06T00:00:00"/>
    <x v="0"/>
    <x v="0"/>
    <x v="0"/>
    <x v="0"/>
    <x v="3"/>
    <x v="7"/>
    <x v="1"/>
    <x v="0"/>
  </r>
  <r>
    <x v="142"/>
    <x v="8"/>
    <x v="8"/>
    <n v="26.3"/>
    <n v="210.4"/>
    <x v="5"/>
    <d v="2025-01-09T00:00:00"/>
    <x v="2"/>
    <x v="4"/>
    <x v="4"/>
    <x v="0"/>
    <x v="3"/>
    <x v="2"/>
    <x v="1"/>
    <x v="2"/>
  </r>
  <r>
    <x v="143"/>
    <x v="4"/>
    <x v="1"/>
    <n v="47.8"/>
    <n v="95.6"/>
    <x v="5"/>
    <d v="2025-01-07T00:00:00"/>
    <x v="0"/>
    <x v="0"/>
    <x v="0"/>
    <x v="0"/>
    <x v="3"/>
    <x v="3"/>
    <x v="1"/>
    <x v="0"/>
  </r>
  <r>
    <x v="144"/>
    <x v="9"/>
    <x v="2"/>
    <n v="69.400000000000006"/>
    <n v="208.20000000000002"/>
    <x v="5"/>
    <d v="2025-01-10T00:00:00"/>
    <x v="2"/>
    <x v="0"/>
    <x v="0"/>
    <x v="0"/>
    <x v="3"/>
    <x v="5"/>
    <x v="1"/>
    <x v="2"/>
  </r>
  <r>
    <x v="145"/>
    <x v="18"/>
    <x v="4"/>
    <n v="25.8"/>
    <n v="309.60000000000002"/>
    <x v="5"/>
    <d v="2025-01-07T00:00:00"/>
    <x v="1"/>
    <x v="4"/>
    <x v="4"/>
    <x v="0"/>
    <x v="3"/>
    <x v="3"/>
    <x v="1"/>
    <x v="1"/>
  </r>
  <r>
    <x v="146"/>
    <x v="0"/>
    <x v="12"/>
    <n v="26.4"/>
    <n v="105.6"/>
    <x v="5"/>
    <d v="2025-01-07T00:00:00"/>
    <x v="1"/>
    <x v="1"/>
    <x v="2"/>
    <x v="0"/>
    <x v="3"/>
    <x v="3"/>
    <x v="1"/>
    <x v="1"/>
  </r>
  <r>
    <x v="147"/>
    <x v="8"/>
    <x v="12"/>
    <n v="15.7"/>
    <n v="62.8"/>
    <x v="5"/>
    <d v="2025-01-07T00:00:00"/>
    <x v="1"/>
    <x v="2"/>
    <x v="0"/>
    <x v="0"/>
    <x v="3"/>
    <x v="3"/>
    <x v="1"/>
    <x v="1"/>
  </r>
  <r>
    <x v="148"/>
    <x v="8"/>
    <x v="0"/>
    <n v="39.700000000000003"/>
    <n v="39.700000000000003"/>
    <x v="5"/>
    <d v="2025-01-10T00:00:00"/>
    <x v="1"/>
    <x v="0"/>
    <x v="0"/>
    <x v="0"/>
    <x v="3"/>
    <x v="5"/>
    <x v="1"/>
    <x v="1"/>
  </r>
  <r>
    <x v="149"/>
    <x v="10"/>
    <x v="12"/>
    <n v="31.1"/>
    <n v="124.4"/>
    <x v="5"/>
    <d v="2025-01-08T00:00:00"/>
    <x v="2"/>
    <x v="2"/>
    <x v="1"/>
    <x v="0"/>
    <x v="3"/>
    <x v="1"/>
    <x v="1"/>
    <x v="2"/>
  </r>
  <r>
    <x v="150"/>
    <x v="13"/>
    <x v="20"/>
    <n v="23.4"/>
    <n v="351"/>
    <x v="5"/>
    <d v="2025-01-15T00:00:00"/>
    <x v="1"/>
    <x v="0"/>
    <x v="0"/>
    <x v="0"/>
    <x v="3"/>
    <x v="8"/>
    <x v="1"/>
    <x v="1"/>
  </r>
  <r>
    <x v="151"/>
    <x v="1"/>
    <x v="12"/>
    <n v="57.1"/>
    <n v="228.4"/>
    <x v="6"/>
    <d v="2025-01-08T00:00:00"/>
    <x v="1"/>
    <x v="2"/>
    <x v="0"/>
    <x v="0"/>
    <x v="25"/>
    <x v="3"/>
    <x v="1"/>
    <x v="1"/>
  </r>
  <r>
    <x v="152"/>
    <x v="2"/>
    <x v="9"/>
    <n v="89.9"/>
    <n v="449.5"/>
    <x v="6"/>
    <d v="2025-01-07T00:00:00"/>
    <x v="2"/>
    <x v="0"/>
    <x v="3"/>
    <x v="0"/>
    <x v="23"/>
    <x v="7"/>
    <x v="1"/>
    <x v="2"/>
  </r>
  <r>
    <x v="153"/>
    <x v="10"/>
    <x v="3"/>
    <n v="48.1"/>
    <n v="336.7"/>
    <x v="6"/>
    <d v="2025-01-09T00:00:00"/>
    <x v="2"/>
    <x v="1"/>
    <x v="2"/>
    <x v="0"/>
    <x v="6"/>
    <x v="1"/>
    <x v="1"/>
    <x v="2"/>
  </r>
  <r>
    <x v="154"/>
    <x v="8"/>
    <x v="1"/>
    <n v="29.3"/>
    <n v="58.6"/>
    <x v="6"/>
    <d v="2025-01-07T00:00:00"/>
    <x v="2"/>
    <x v="1"/>
    <x v="1"/>
    <x v="0"/>
    <x v="6"/>
    <x v="7"/>
    <x v="1"/>
    <x v="2"/>
  </r>
  <r>
    <x v="155"/>
    <x v="8"/>
    <x v="12"/>
    <n v="28.8"/>
    <n v="115.2"/>
    <x v="6"/>
    <d v="2025-01-08T00:00:00"/>
    <x v="2"/>
    <x v="0"/>
    <x v="4"/>
    <x v="0"/>
    <x v="6"/>
    <x v="3"/>
    <x v="1"/>
    <x v="2"/>
  </r>
  <r>
    <x v="156"/>
    <x v="10"/>
    <x v="9"/>
    <n v="40.5"/>
    <n v="202.5"/>
    <x v="6"/>
    <d v="2025-01-11T00:00:00"/>
    <x v="2"/>
    <x v="3"/>
    <x v="0"/>
    <x v="0"/>
    <x v="6"/>
    <x v="5"/>
    <x v="1"/>
    <x v="2"/>
  </r>
  <r>
    <x v="157"/>
    <x v="18"/>
    <x v="21"/>
    <n v="65.099999999999994"/>
    <n v="911.39999999999986"/>
    <x v="6"/>
    <d v="2025-01-08T00:00:00"/>
    <x v="2"/>
    <x v="4"/>
    <x v="0"/>
    <x v="0"/>
    <x v="7"/>
    <x v="3"/>
    <x v="1"/>
    <x v="2"/>
  </r>
  <r>
    <x v="158"/>
    <x v="8"/>
    <x v="12"/>
    <n v="40.299999999999997"/>
    <n v="161.19999999999999"/>
    <x v="6"/>
    <d v="2025-01-12T00:00:00"/>
    <x v="2"/>
    <x v="2"/>
    <x v="0"/>
    <x v="0"/>
    <x v="7"/>
    <x v="0"/>
    <x v="1"/>
    <x v="2"/>
  </r>
  <r>
    <x v="159"/>
    <x v="6"/>
    <x v="9"/>
    <n v="51.8"/>
    <n v="259"/>
    <x v="6"/>
    <d v="2025-01-08T00:00:00"/>
    <x v="1"/>
    <x v="2"/>
    <x v="2"/>
    <x v="0"/>
    <x v="8"/>
    <x v="3"/>
    <x v="1"/>
    <x v="1"/>
  </r>
  <r>
    <x v="160"/>
    <x v="6"/>
    <x v="2"/>
    <n v="61.3"/>
    <n v="183.89999999999998"/>
    <x v="6"/>
    <d v="2025-01-08T00:00:00"/>
    <x v="2"/>
    <x v="3"/>
    <x v="0"/>
    <x v="0"/>
    <x v="8"/>
    <x v="3"/>
    <x v="1"/>
    <x v="2"/>
  </r>
  <r>
    <x v="161"/>
    <x v="2"/>
    <x v="12"/>
    <n v="122.5"/>
    <n v="490"/>
    <x v="6"/>
    <d v="2025-01-08T00:00:00"/>
    <x v="1"/>
    <x v="0"/>
    <x v="0"/>
    <x v="0"/>
    <x v="8"/>
    <x v="3"/>
    <x v="1"/>
    <x v="1"/>
  </r>
  <r>
    <x v="162"/>
    <x v="0"/>
    <x v="11"/>
    <n v="12.5"/>
    <n v="112.5"/>
    <x v="6"/>
    <d v="2025-01-08T00:00:00"/>
    <x v="0"/>
    <x v="1"/>
    <x v="2"/>
    <x v="0"/>
    <x v="8"/>
    <x v="3"/>
    <x v="1"/>
    <x v="0"/>
  </r>
  <r>
    <x v="163"/>
    <x v="15"/>
    <x v="8"/>
    <n v="37.5"/>
    <n v="300"/>
    <x v="6"/>
    <d v="2025-01-08T00:00:00"/>
    <x v="2"/>
    <x v="0"/>
    <x v="0"/>
    <x v="0"/>
    <x v="9"/>
    <x v="3"/>
    <x v="1"/>
    <x v="2"/>
  </r>
  <r>
    <x v="164"/>
    <x v="6"/>
    <x v="2"/>
    <n v="40"/>
    <n v="120"/>
    <x v="6"/>
    <d v="2025-01-10T00:00:00"/>
    <x v="1"/>
    <x v="0"/>
    <x v="4"/>
    <x v="0"/>
    <x v="11"/>
    <x v="2"/>
    <x v="1"/>
    <x v="1"/>
  </r>
  <r>
    <x v="165"/>
    <x v="17"/>
    <x v="8"/>
    <n v="38.5"/>
    <n v="308"/>
    <x v="6"/>
    <d v="2025-01-12T00:00:00"/>
    <x v="2"/>
    <x v="2"/>
    <x v="1"/>
    <x v="0"/>
    <x v="11"/>
    <x v="0"/>
    <x v="1"/>
    <x v="2"/>
  </r>
  <r>
    <x v="166"/>
    <x v="2"/>
    <x v="1"/>
    <n v="86.4"/>
    <n v="172.8"/>
    <x v="6"/>
    <d v="2025-01-09T00:00:00"/>
    <x v="2"/>
    <x v="0"/>
    <x v="0"/>
    <x v="0"/>
    <x v="18"/>
    <x v="1"/>
    <x v="1"/>
    <x v="2"/>
  </r>
  <r>
    <x v="167"/>
    <x v="10"/>
    <x v="0"/>
    <n v="50.7"/>
    <n v="50.7"/>
    <x v="6"/>
    <d v="2025-01-11T00:00:00"/>
    <x v="2"/>
    <x v="1"/>
    <x v="0"/>
    <x v="0"/>
    <x v="18"/>
    <x v="5"/>
    <x v="1"/>
    <x v="2"/>
  </r>
  <r>
    <x v="168"/>
    <x v="10"/>
    <x v="1"/>
    <n v="61"/>
    <n v="122"/>
    <x v="6"/>
    <d v="2025-01-18T00:00:00"/>
    <x v="2"/>
    <x v="4"/>
    <x v="1"/>
    <x v="0"/>
    <x v="18"/>
    <x v="11"/>
    <x v="1"/>
    <x v="2"/>
  </r>
  <r>
    <x v="169"/>
    <x v="4"/>
    <x v="1"/>
    <n v="19.899999999999999"/>
    <n v="39.799999999999997"/>
    <x v="6"/>
    <d v="2025-01-10T00:00:00"/>
    <x v="2"/>
    <x v="1"/>
    <x v="0"/>
    <x v="0"/>
    <x v="28"/>
    <x v="2"/>
    <x v="1"/>
    <x v="2"/>
  </r>
  <r>
    <x v="170"/>
    <x v="5"/>
    <x v="0"/>
    <n v="78.3"/>
    <n v="78.3"/>
    <x v="6"/>
    <d v="2025-01-07T00:00:00"/>
    <x v="2"/>
    <x v="0"/>
    <x v="2"/>
    <x v="0"/>
    <x v="1"/>
    <x v="7"/>
    <x v="1"/>
    <x v="2"/>
  </r>
  <r>
    <x v="171"/>
    <x v="0"/>
    <x v="10"/>
    <n v="10.4"/>
    <n v="197.6"/>
    <x v="6"/>
    <d v="2025-01-09T00:00:00"/>
    <x v="1"/>
    <x v="0"/>
    <x v="2"/>
    <x v="0"/>
    <x v="2"/>
    <x v="1"/>
    <x v="1"/>
    <x v="1"/>
  </r>
  <r>
    <x v="172"/>
    <x v="10"/>
    <x v="0"/>
    <n v="36.1"/>
    <n v="36.1"/>
    <x v="6"/>
    <d v="2025-01-10T00:00:00"/>
    <x v="1"/>
    <x v="3"/>
    <x v="2"/>
    <x v="0"/>
    <x v="3"/>
    <x v="2"/>
    <x v="1"/>
    <x v="1"/>
  </r>
  <r>
    <x v="173"/>
    <x v="14"/>
    <x v="1"/>
    <n v="17.3"/>
    <n v="34.6"/>
    <x v="6"/>
    <d v="2025-01-09T00:00:00"/>
    <x v="2"/>
    <x v="1"/>
    <x v="2"/>
    <x v="0"/>
    <x v="3"/>
    <x v="1"/>
    <x v="1"/>
    <x v="2"/>
  </r>
  <r>
    <x v="174"/>
    <x v="10"/>
    <x v="1"/>
    <n v="30.5"/>
    <n v="61"/>
    <x v="6"/>
    <d v="2025-01-08T00:00:00"/>
    <x v="2"/>
    <x v="1"/>
    <x v="2"/>
    <x v="0"/>
    <x v="3"/>
    <x v="3"/>
    <x v="1"/>
    <x v="2"/>
  </r>
  <r>
    <x v="175"/>
    <x v="18"/>
    <x v="22"/>
    <n v="70.099999999999994"/>
    <n v="4346.2"/>
    <x v="6"/>
    <d v="2025-01-07T00:00:00"/>
    <x v="2"/>
    <x v="2"/>
    <x v="0"/>
    <x v="0"/>
    <x v="3"/>
    <x v="7"/>
    <x v="1"/>
    <x v="2"/>
  </r>
  <r>
    <x v="176"/>
    <x v="3"/>
    <x v="0"/>
    <n v="76.099999999999994"/>
    <n v="76.099999999999994"/>
    <x v="6"/>
    <d v="2025-01-07T00:00:00"/>
    <x v="2"/>
    <x v="2"/>
    <x v="1"/>
    <x v="0"/>
    <x v="3"/>
    <x v="7"/>
    <x v="1"/>
    <x v="2"/>
  </r>
  <r>
    <x v="177"/>
    <x v="15"/>
    <x v="15"/>
    <n v="34.200000000000003"/>
    <n v="444.6"/>
    <x v="6"/>
    <d v="2025-01-08T00:00:00"/>
    <x v="1"/>
    <x v="0"/>
    <x v="0"/>
    <x v="0"/>
    <x v="3"/>
    <x v="3"/>
    <x v="1"/>
    <x v="1"/>
  </r>
  <r>
    <x v="178"/>
    <x v="8"/>
    <x v="9"/>
    <n v="30.3"/>
    <n v="151.5"/>
    <x v="6"/>
    <d v="2025-01-12T00:00:00"/>
    <x v="2"/>
    <x v="4"/>
    <x v="0"/>
    <x v="0"/>
    <x v="3"/>
    <x v="0"/>
    <x v="1"/>
    <x v="2"/>
  </r>
  <r>
    <x v="179"/>
    <x v="6"/>
    <x v="9"/>
    <n v="52.5"/>
    <n v="262.5"/>
    <x v="6"/>
    <d v="2025-01-11T00:00:00"/>
    <x v="0"/>
    <x v="3"/>
    <x v="0"/>
    <x v="0"/>
    <x v="3"/>
    <x v="5"/>
    <x v="1"/>
    <x v="0"/>
  </r>
  <r>
    <x v="180"/>
    <x v="9"/>
    <x v="5"/>
    <n v="28.7"/>
    <n v="315.7"/>
    <x v="6"/>
    <d v="2025-01-08T00:00:00"/>
    <x v="2"/>
    <x v="2"/>
    <x v="0"/>
    <x v="0"/>
    <x v="3"/>
    <x v="3"/>
    <x v="1"/>
    <x v="2"/>
  </r>
  <r>
    <x v="181"/>
    <x v="7"/>
    <x v="3"/>
    <n v="52"/>
    <n v="364"/>
    <x v="6"/>
    <d v="2025-01-08T00:00:00"/>
    <x v="1"/>
    <x v="1"/>
    <x v="4"/>
    <x v="0"/>
    <x v="3"/>
    <x v="3"/>
    <x v="1"/>
    <x v="1"/>
  </r>
  <r>
    <x v="182"/>
    <x v="0"/>
    <x v="0"/>
    <n v="13.3"/>
    <n v="13.3"/>
    <x v="7"/>
    <d v="2025-01-12T00:00:00"/>
    <x v="2"/>
    <x v="2"/>
    <x v="1"/>
    <x v="0"/>
    <x v="3"/>
    <x v="5"/>
    <x v="1"/>
    <x v="2"/>
  </r>
  <r>
    <x v="183"/>
    <x v="0"/>
    <x v="2"/>
    <n v="15.7"/>
    <n v="47.099999999999994"/>
    <x v="7"/>
    <d v="2025-01-09T00:00:00"/>
    <x v="2"/>
    <x v="1"/>
    <x v="0"/>
    <x v="0"/>
    <x v="29"/>
    <x v="3"/>
    <x v="1"/>
    <x v="2"/>
  </r>
  <r>
    <x v="184"/>
    <x v="8"/>
    <x v="1"/>
    <n v="25.6"/>
    <n v="51.2"/>
    <x v="7"/>
    <d v="2025-01-09T00:00:00"/>
    <x v="1"/>
    <x v="0"/>
    <x v="2"/>
    <x v="0"/>
    <x v="23"/>
    <x v="3"/>
    <x v="1"/>
    <x v="1"/>
  </r>
  <r>
    <x v="185"/>
    <x v="8"/>
    <x v="0"/>
    <n v="43.4"/>
    <n v="43.4"/>
    <x v="7"/>
    <d v="2025-01-13T00:00:00"/>
    <x v="1"/>
    <x v="0"/>
    <x v="0"/>
    <x v="0"/>
    <x v="6"/>
    <x v="0"/>
    <x v="1"/>
    <x v="1"/>
  </r>
  <r>
    <x v="186"/>
    <x v="11"/>
    <x v="11"/>
    <n v="33.4"/>
    <n v="300.59999999999997"/>
    <x v="7"/>
    <d v="2025-01-08T00:00:00"/>
    <x v="2"/>
    <x v="0"/>
    <x v="0"/>
    <x v="0"/>
    <x v="8"/>
    <x v="7"/>
    <x v="1"/>
    <x v="2"/>
  </r>
  <r>
    <x v="187"/>
    <x v="8"/>
    <x v="10"/>
    <n v="55"/>
    <n v="1045"/>
    <x v="7"/>
    <d v="2025-01-09T00:00:00"/>
    <x v="2"/>
    <x v="1"/>
    <x v="2"/>
    <x v="0"/>
    <x v="8"/>
    <x v="3"/>
    <x v="1"/>
    <x v="2"/>
  </r>
  <r>
    <x v="188"/>
    <x v="8"/>
    <x v="2"/>
    <n v="23.6"/>
    <n v="70.800000000000011"/>
    <x v="7"/>
    <d v="2025-01-09T00:00:00"/>
    <x v="1"/>
    <x v="0"/>
    <x v="2"/>
    <x v="0"/>
    <x v="8"/>
    <x v="3"/>
    <x v="1"/>
    <x v="1"/>
  </r>
  <r>
    <x v="189"/>
    <x v="12"/>
    <x v="11"/>
    <n v="104"/>
    <n v="936"/>
    <x v="7"/>
    <d v="2025-01-10T00:00:00"/>
    <x v="2"/>
    <x v="2"/>
    <x v="2"/>
    <x v="0"/>
    <x v="17"/>
    <x v="1"/>
    <x v="1"/>
    <x v="2"/>
  </r>
  <r>
    <x v="190"/>
    <x v="6"/>
    <x v="1"/>
    <n v="51.8"/>
    <n v="103.6"/>
    <x v="7"/>
    <d v="2025-01-12T00:00:00"/>
    <x v="0"/>
    <x v="0"/>
    <x v="2"/>
    <x v="0"/>
    <x v="10"/>
    <x v="5"/>
    <x v="1"/>
    <x v="0"/>
  </r>
  <r>
    <x v="191"/>
    <x v="10"/>
    <x v="9"/>
    <n v="34.5"/>
    <n v="172.5"/>
    <x v="7"/>
    <d v="2025-01-10T00:00:00"/>
    <x v="0"/>
    <x v="2"/>
    <x v="2"/>
    <x v="0"/>
    <x v="11"/>
    <x v="1"/>
    <x v="1"/>
    <x v="0"/>
  </r>
  <r>
    <x v="192"/>
    <x v="6"/>
    <x v="1"/>
    <n v="51.8"/>
    <n v="103.6"/>
    <x v="7"/>
    <d v="2025-01-10T00:00:00"/>
    <x v="1"/>
    <x v="1"/>
    <x v="2"/>
    <x v="0"/>
    <x v="30"/>
    <x v="1"/>
    <x v="1"/>
    <x v="1"/>
  </r>
  <r>
    <x v="193"/>
    <x v="18"/>
    <x v="23"/>
    <n v="131.5"/>
    <n v="5654.5"/>
    <x v="7"/>
    <d v="2025-01-09T00:00:00"/>
    <x v="2"/>
    <x v="0"/>
    <x v="2"/>
    <x v="0"/>
    <x v="18"/>
    <x v="3"/>
    <x v="1"/>
    <x v="2"/>
  </r>
  <r>
    <x v="194"/>
    <x v="8"/>
    <x v="3"/>
    <n v="47.8"/>
    <n v="334.59999999999997"/>
    <x v="7"/>
    <d v="2025-01-08T00:00:00"/>
    <x v="2"/>
    <x v="0"/>
    <x v="0"/>
    <x v="0"/>
    <x v="19"/>
    <x v="7"/>
    <x v="1"/>
    <x v="2"/>
  </r>
  <r>
    <x v="195"/>
    <x v="0"/>
    <x v="1"/>
    <n v="10.199999999999999"/>
    <n v="20.399999999999999"/>
    <x v="7"/>
    <d v="2025-01-10T00:00:00"/>
    <x v="2"/>
    <x v="0"/>
    <x v="0"/>
    <x v="0"/>
    <x v="19"/>
    <x v="1"/>
    <x v="1"/>
    <x v="2"/>
  </r>
  <r>
    <x v="196"/>
    <x v="8"/>
    <x v="8"/>
    <n v="41"/>
    <n v="328"/>
    <x v="7"/>
    <d v="2025-01-08T00:00:00"/>
    <x v="2"/>
    <x v="1"/>
    <x v="2"/>
    <x v="0"/>
    <x v="19"/>
    <x v="7"/>
    <x v="1"/>
    <x v="2"/>
  </r>
  <r>
    <x v="197"/>
    <x v="10"/>
    <x v="3"/>
    <n v="50.8"/>
    <n v="355.59999999999997"/>
    <x v="7"/>
    <d v="2025-01-11T00:00:00"/>
    <x v="2"/>
    <x v="1"/>
    <x v="0"/>
    <x v="0"/>
    <x v="21"/>
    <x v="2"/>
    <x v="1"/>
    <x v="2"/>
  </r>
  <r>
    <x v="198"/>
    <x v="18"/>
    <x v="2"/>
    <n v="39.6"/>
    <n v="118.80000000000001"/>
    <x v="7"/>
    <d v="2025-01-09T00:00:00"/>
    <x v="1"/>
    <x v="2"/>
    <x v="2"/>
    <x v="0"/>
    <x v="1"/>
    <x v="3"/>
    <x v="1"/>
    <x v="1"/>
  </r>
  <r>
    <x v="199"/>
    <x v="5"/>
    <x v="1"/>
    <n v="69.5"/>
    <n v="139"/>
    <x v="7"/>
    <d v="2025-01-10T00:00:00"/>
    <x v="1"/>
    <x v="0"/>
    <x v="2"/>
    <x v="0"/>
    <x v="2"/>
    <x v="1"/>
    <x v="1"/>
    <x v="1"/>
  </r>
  <r>
    <x v="200"/>
    <x v="8"/>
    <x v="8"/>
    <n v="32.6"/>
    <n v="260.8"/>
    <x v="7"/>
    <d v="2025-01-11T00:00:00"/>
    <x v="1"/>
    <x v="1"/>
    <x v="0"/>
    <x v="0"/>
    <x v="3"/>
    <x v="2"/>
    <x v="1"/>
    <x v="1"/>
  </r>
  <r>
    <x v="201"/>
    <x v="7"/>
    <x v="1"/>
    <n v="49.1"/>
    <n v="98.2"/>
    <x v="7"/>
    <d v="2025-01-16T00:00:00"/>
    <x v="1"/>
    <x v="3"/>
    <x v="2"/>
    <x v="0"/>
    <x v="3"/>
    <x v="9"/>
    <x v="1"/>
    <x v="1"/>
  </r>
  <r>
    <x v="202"/>
    <x v="6"/>
    <x v="1"/>
    <n v="49.4"/>
    <n v="98.8"/>
    <x v="8"/>
    <d v="2025-01-10T00:00:00"/>
    <x v="2"/>
    <x v="2"/>
    <x v="0"/>
    <x v="0"/>
    <x v="3"/>
    <x v="3"/>
    <x v="1"/>
    <x v="2"/>
  </r>
  <r>
    <x v="203"/>
    <x v="7"/>
    <x v="3"/>
    <n v="65.099999999999994"/>
    <n v="455.69999999999993"/>
    <x v="8"/>
    <d v="2025-01-12T00:00:00"/>
    <x v="2"/>
    <x v="2"/>
    <x v="2"/>
    <x v="0"/>
    <x v="3"/>
    <x v="2"/>
    <x v="1"/>
    <x v="2"/>
  </r>
  <r>
    <x v="204"/>
    <x v="3"/>
    <x v="1"/>
    <n v="52.1"/>
    <n v="104.2"/>
    <x v="8"/>
    <d v="2025-01-13T00:00:00"/>
    <x v="2"/>
    <x v="2"/>
    <x v="0"/>
    <x v="0"/>
    <x v="3"/>
    <x v="5"/>
    <x v="1"/>
    <x v="2"/>
  </r>
  <r>
    <x v="205"/>
    <x v="2"/>
    <x v="12"/>
    <n v="129.19999999999999"/>
    <n v="516.79999999999995"/>
    <x v="8"/>
    <d v="2025-01-10T00:00:00"/>
    <x v="2"/>
    <x v="1"/>
    <x v="0"/>
    <x v="0"/>
    <x v="3"/>
    <x v="3"/>
    <x v="1"/>
    <x v="2"/>
  </r>
  <r>
    <x v="206"/>
    <x v="1"/>
    <x v="10"/>
    <n v="81.8"/>
    <n v="1554.2"/>
    <x v="8"/>
    <d v="2025-01-09T00:00:00"/>
    <x v="2"/>
    <x v="1"/>
    <x v="1"/>
    <x v="0"/>
    <x v="3"/>
    <x v="7"/>
    <x v="1"/>
    <x v="2"/>
  </r>
  <r>
    <x v="207"/>
    <x v="17"/>
    <x v="0"/>
    <n v="24.9"/>
    <n v="24.9"/>
    <x v="8"/>
    <d v="2025-01-13T00:00:00"/>
    <x v="2"/>
    <x v="1"/>
    <x v="0"/>
    <x v="0"/>
    <x v="3"/>
    <x v="5"/>
    <x v="1"/>
    <x v="2"/>
  </r>
  <r>
    <x v="208"/>
    <x v="0"/>
    <x v="2"/>
    <n v="49.4"/>
    <n v="148.19999999999999"/>
    <x v="8"/>
    <d v="2025-01-12T00:00:00"/>
    <x v="2"/>
    <x v="4"/>
    <x v="4"/>
    <x v="0"/>
    <x v="3"/>
    <x v="2"/>
    <x v="1"/>
    <x v="2"/>
  </r>
  <r>
    <x v="209"/>
    <x v="8"/>
    <x v="1"/>
    <n v="22.7"/>
    <n v="45.4"/>
    <x v="8"/>
    <d v="2025-01-10T00:00:00"/>
    <x v="1"/>
    <x v="3"/>
    <x v="2"/>
    <x v="0"/>
    <x v="3"/>
    <x v="3"/>
    <x v="1"/>
    <x v="1"/>
  </r>
  <r>
    <x v="210"/>
    <x v="1"/>
    <x v="0"/>
    <n v="77.3"/>
    <n v="77.3"/>
    <x v="8"/>
    <d v="2025-01-09T00:00:00"/>
    <x v="2"/>
    <x v="0"/>
    <x v="2"/>
    <x v="0"/>
    <x v="6"/>
    <x v="7"/>
    <x v="1"/>
    <x v="2"/>
  </r>
  <r>
    <x v="211"/>
    <x v="1"/>
    <x v="9"/>
    <n v="109.1"/>
    <n v="545.5"/>
    <x v="8"/>
    <d v="2025-01-12T00:00:00"/>
    <x v="2"/>
    <x v="0"/>
    <x v="0"/>
    <x v="0"/>
    <x v="6"/>
    <x v="2"/>
    <x v="1"/>
    <x v="2"/>
  </r>
  <r>
    <x v="212"/>
    <x v="2"/>
    <x v="12"/>
    <n v="53.9"/>
    <n v="215.6"/>
    <x v="8"/>
    <d v="2025-01-10T00:00:00"/>
    <x v="1"/>
    <x v="0"/>
    <x v="1"/>
    <x v="0"/>
    <x v="8"/>
    <x v="3"/>
    <x v="1"/>
    <x v="1"/>
  </r>
  <r>
    <x v="213"/>
    <x v="9"/>
    <x v="18"/>
    <n v="21.2"/>
    <n v="551.19999999999993"/>
    <x v="8"/>
    <d v="2025-01-09T00:00:00"/>
    <x v="2"/>
    <x v="0"/>
    <x v="0"/>
    <x v="0"/>
    <x v="9"/>
    <x v="7"/>
    <x v="1"/>
    <x v="2"/>
  </r>
  <r>
    <x v="214"/>
    <x v="16"/>
    <x v="12"/>
    <n v="69"/>
    <n v="276"/>
    <x v="8"/>
    <d v="2025-01-11T00:00:00"/>
    <x v="2"/>
    <x v="1"/>
    <x v="1"/>
    <x v="0"/>
    <x v="18"/>
    <x v="1"/>
    <x v="1"/>
    <x v="2"/>
  </r>
  <r>
    <x v="215"/>
    <x v="6"/>
    <x v="2"/>
    <n v="46.2"/>
    <n v="138.60000000000002"/>
    <x v="8"/>
    <d v="2025-01-11T00:00:00"/>
    <x v="2"/>
    <x v="0"/>
    <x v="2"/>
    <x v="0"/>
    <x v="31"/>
    <x v="1"/>
    <x v="1"/>
    <x v="2"/>
  </r>
  <r>
    <x v="216"/>
    <x v="1"/>
    <x v="9"/>
    <n v="97.4"/>
    <n v="487"/>
    <x v="8"/>
    <d v="2025-01-13T00:00:00"/>
    <x v="2"/>
    <x v="4"/>
    <x v="2"/>
    <x v="0"/>
    <x v="21"/>
    <x v="5"/>
    <x v="1"/>
    <x v="2"/>
  </r>
  <r>
    <x v="217"/>
    <x v="8"/>
    <x v="9"/>
    <n v="21"/>
    <n v="105"/>
    <x v="8"/>
    <d v="2025-01-10T00:00:00"/>
    <x v="1"/>
    <x v="0"/>
    <x v="1"/>
    <x v="0"/>
    <x v="21"/>
    <x v="3"/>
    <x v="1"/>
    <x v="1"/>
  </r>
  <r>
    <x v="218"/>
    <x v="5"/>
    <x v="1"/>
    <n v="32.700000000000003"/>
    <n v="65.400000000000006"/>
    <x v="9"/>
    <d v="2025-01-13T00:00:00"/>
    <x v="2"/>
    <x v="1"/>
    <x v="0"/>
    <x v="0"/>
    <x v="2"/>
    <x v="2"/>
    <x v="1"/>
    <x v="2"/>
  </r>
  <r>
    <x v="219"/>
    <x v="6"/>
    <x v="12"/>
    <n v="48"/>
    <n v="192"/>
    <x v="9"/>
    <d v="2025-01-11T00:00:00"/>
    <x v="1"/>
    <x v="3"/>
    <x v="0"/>
    <x v="0"/>
    <x v="3"/>
    <x v="3"/>
    <x v="1"/>
    <x v="1"/>
  </r>
  <r>
    <x v="220"/>
    <x v="6"/>
    <x v="2"/>
    <n v="68.2"/>
    <n v="204.60000000000002"/>
    <x v="9"/>
    <d v="2025-01-14T00:00:00"/>
    <x v="0"/>
    <x v="0"/>
    <x v="2"/>
    <x v="0"/>
    <x v="3"/>
    <x v="5"/>
    <x v="1"/>
    <x v="0"/>
  </r>
  <r>
    <x v="221"/>
    <x v="5"/>
    <x v="0"/>
    <n v="45.4"/>
    <n v="45.4"/>
    <x v="9"/>
    <d v="2025-01-12T00:00:00"/>
    <x v="1"/>
    <x v="1"/>
    <x v="0"/>
    <x v="0"/>
    <x v="3"/>
    <x v="1"/>
    <x v="1"/>
    <x v="1"/>
  </r>
  <r>
    <x v="222"/>
    <x v="12"/>
    <x v="1"/>
    <n v="53.9"/>
    <n v="107.8"/>
    <x v="9"/>
    <d v="2025-01-11T00:00:00"/>
    <x v="2"/>
    <x v="2"/>
    <x v="0"/>
    <x v="0"/>
    <x v="3"/>
    <x v="3"/>
    <x v="1"/>
    <x v="2"/>
  </r>
  <r>
    <x v="223"/>
    <x v="2"/>
    <x v="12"/>
    <n v="62.1"/>
    <n v="248.4"/>
    <x v="9"/>
    <d v="2025-01-14T00:00:00"/>
    <x v="2"/>
    <x v="0"/>
    <x v="0"/>
    <x v="0"/>
    <x v="4"/>
    <x v="5"/>
    <x v="1"/>
    <x v="2"/>
  </r>
  <r>
    <x v="224"/>
    <x v="13"/>
    <x v="3"/>
    <n v="33.1"/>
    <n v="231.70000000000002"/>
    <x v="9"/>
    <d v="2025-01-15T00:00:00"/>
    <x v="1"/>
    <x v="1"/>
    <x v="0"/>
    <x v="0"/>
    <x v="6"/>
    <x v="0"/>
    <x v="1"/>
    <x v="1"/>
  </r>
  <r>
    <x v="225"/>
    <x v="18"/>
    <x v="9"/>
    <n v="35.200000000000003"/>
    <n v="176"/>
    <x v="9"/>
    <d v="2025-01-10T00:00:00"/>
    <x v="2"/>
    <x v="1"/>
    <x v="0"/>
    <x v="0"/>
    <x v="6"/>
    <x v="7"/>
    <x v="1"/>
    <x v="2"/>
  </r>
  <r>
    <x v="226"/>
    <x v="9"/>
    <x v="2"/>
    <n v="32.1"/>
    <n v="96.300000000000011"/>
    <x v="9"/>
    <d v="2025-01-15T00:00:00"/>
    <x v="1"/>
    <x v="3"/>
    <x v="0"/>
    <x v="0"/>
    <x v="8"/>
    <x v="0"/>
    <x v="1"/>
    <x v="1"/>
  </r>
  <r>
    <x v="227"/>
    <x v="11"/>
    <x v="0"/>
    <n v="38.1"/>
    <n v="38.1"/>
    <x v="9"/>
    <d v="2025-01-15T00:00:00"/>
    <x v="2"/>
    <x v="0"/>
    <x v="2"/>
    <x v="0"/>
    <x v="8"/>
    <x v="0"/>
    <x v="1"/>
    <x v="2"/>
  </r>
  <r>
    <x v="228"/>
    <x v="8"/>
    <x v="0"/>
    <n v="65.2"/>
    <n v="65.2"/>
    <x v="9"/>
    <d v="2025-01-15T00:00:00"/>
    <x v="2"/>
    <x v="3"/>
    <x v="1"/>
    <x v="0"/>
    <x v="8"/>
    <x v="0"/>
    <x v="1"/>
    <x v="2"/>
  </r>
  <r>
    <x v="229"/>
    <x v="10"/>
    <x v="3"/>
    <n v="55.2"/>
    <n v="386.40000000000003"/>
    <x v="9"/>
    <d v="2025-01-11T00:00:00"/>
    <x v="1"/>
    <x v="2"/>
    <x v="0"/>
    <x v="0"/>
    <x v="11"/>
    <x v="3"/>
    <x v="1"/>
    <x v="1"/>
  </r>
  <r>
    <x v="230"/>
    <x v="6"/>
    <x v="0"/>
    <n v="62"/>
    <n v="62"/>
    <x v="9"/>
    <d v="2025-01-14T00:00:00"/>
    <x v="2"/>
    <x v="0"/>
    <x v="0"/>
    <x v="0"/>
    <x v="11"/>
    <x v="5"/>
    <x v="1"/>
    <x v="2"/>
  </r>
  <r>
    <x v="231"/>
    <x v="7"/>
    <x v="2"/>
    <n v="45.9"/>
    <n v="137.69999999999999"/>
    <x v="9"/>
    <d v="2025-01-11T00:00:00"/>
    <x v="2"/>
    <x v="2"/>
    <x v="0"/>
    <x v="0"/>
    <x v="32"/>
    <x v="3"/>
    <x v="1"/>
    <x v="2"/>
  </r>
  <r>
    <x v="232"/>
    <x v="18"/>
    <x v="2"/>
    <n v="58.3"/>
    <n v="174.89999999999998"/>
    <x v="9"/>
    <d v="2025-01-10T00:00:00"/>
    <x v="1"/>
    <x v="1"/>
    <x v="1"/>
    <x v="0"/>
    <x v="18"/>
    <x v="7"/>
    <x v="1"/>
    <x v="1"/>
  </r>
  <r>
    <x v="233"/>
    <x v="8"/>
    <x v="1"/>
    <n v="22.3"/>
    <n v="44.6"/>
    <x v="9"/>
    <d v="2025-01-13T00:00:00"/>
    <x v="2"/>
    <x v="0"/>
    <x v="2"/>
    <x v="0"/>
    <x v="20"/>
    <x v="2"/>
    <x v="1"/>
    <x v="2"/>
  </r>
  <r>
    <x v="234"/>
    <x v="19"/>
    <x v="9"/>
    <n v="24"/>
    <n v="120"/>
    <x v="9"/>
    <d v="2025-01-11T00:00:00"/>
    <x v="1"/>
    <x v="4"/>
    <x v="0"/>
    <x v="0"/>
    <x v="1"/>
    <x v="3"/>
    <x v="1"/>
    <x v="1"/>
  </r>
  <r>
    <x v="235"/>
    <x v="0"/>
    <x v="7"/>
    <n v="21.3"/>
    <n v="213"/>
    <x v="9"/>
    <d v="2025-01-10T00:00:00"/>
    <x v="2"/>
    <x v="1"/>
    <x v="2"/>
    <x v="0"/>
    <x v="22"/>
    <x v="7"/>
    <x v="1"/>
    <x v="2"/>
  </r>
  <r>
    <x v="236"/>
    <x v="6"/>
    <x v="24"/>
    <n v="57.8"/>
    <n v="2369.7999999999997"/>
    <x v="9"/>
    <d v="2025-01-12T00:00:00"/>
    <x v="2"/>
    <x v="0"/>
    <x v="2"/>
    <x v="0"/>
    <x v="3"/>
    <x v="1"/>
    <x v="1"/>
    <x v="2"/>
  </r>
  <r>
    <x v="237"/>
    <x v="10"/>
    <x v="2"/>
    <n v="67.599999999999994"/>
    <n v="202.79999999999998"/>
    <x v="9"/>
    <d v="2025-01-11T00:00:00"/>
    <x v="2"/>
    <x v="0"/>
    <x v="0"/>
    <x v="0"/>
    <x v="3"/>
    <x v="3"/>
    <x v="1"/>
    <x v="2"/>
  </r>
  <r>
    <x v="238"/>
    <x v="6"/>
    <x v="13"/>
    <n v="66.7"/>
    <n v="400.20000000000005"/>
    <x v="9"/>
    <d v="2025-01-14T00:00:00"/>
    <x v="1"/>
    <x v="4"/>
    <x v="1"/>
    <x v="0"/>
    <x v="3"/>
    <x v="5"/>
    <x v="1"/>
    <x v="1"/>
  </r>
  <r>
    <x v="239"/>
    <x v="1"/>
    <x v="12"/>
    <n v="53.1"/>
    <n v="212.4"/>
    <x v="9"/>
    <d v="2025-01-12T00:00:00"/>
    <x v="2"/>
    <x v="1"/>
    <x v="0"/>
    <x v="0"/>
    <x v="3"/>
    <x v="1"/>
    <x v="1"/>
    <x v="2"/>
  </r>
  <r>
    <x v="240"/>
    <x v="12"/>
    <x v="2"/>
    <n v="57.4"/>
    <n v="172.2"/>
    <x v="9"/>
    <d v="2025-01-13T00:00:00"/>
    <x v="2"/>
    <x v="0"/>
    <x v="2"/>
    <x v="0"/>
    <x v="29"/>
    <x v="2"/>
    <x v="1"/>
    <x v="2"/>
  </r>
  <r>
    <x v="241"/>
    <x v="2"/>
    <x v="9"/>
    <n v="58.1"/>
    <n v="290.5"/>
    <x v="9"/>
    <d v="2025-01-10T00:00:00"/>
    <x v="1"/>
    <x v="2"/>
    <x v="2"/>
    <x v="0"/>
    <x v="6"/>
    <x v="7"/>
    <x v="1"/>
    <x v="1"/>
  </r>
  <r>
    <x v="242"/>
    <x v="5"/>
    <x v="2"/>
    <n v="31.8"/>
    <n v="95.4"/>
    <x v="10"/>
    <d v="2025-01-13T00:00:00"/>
    <x v="1"/>
    <x v="3"/>
    <x v="0"/>
    <x v="0"/>
    <x v="6"/>
    <x v="1"/>
    <x v="1"/>
    <x v="1"/>
  </r>
  <r>
    <x v="243"/>
    <x v="4"/>
    <x v="2"/>
    <n v="31.5"/>
    <n v="94.5"/>
    <x v="10"/>
    <d v="2025-01-14T00:00:00"/>
    <x v="1"/>
    <x v="0"/>
    <x v="1"/>
    <x v="0"/>
    <x v="8"/>
    <x v="2"/>
    <x v="1"/>
    <x v="1"/>
  </r>
  <r>
    <x v="244"/>
    <x v="6"/>
    <x v="3"/>
    <n v="55.9"/>
    <n v="391.3"/>
    <x v="10"/>
    <d v="2025-01-15T00:00:00"/>
    <x v="2"/>
    <x v="1"/>
    <x v="2"/>
    <x v="0"/>
    <x v="8"/>
    <x v="5"/>
    <x v="1"/>
    <x v="2"/>
  </r>
  <r>
    <x v="245"/>
    <x v="8"/>
    <x v="1"/>
    <n v="36.4"/>
    <n v="72.8"/>
    <x v="10"/>
    <d v="2025-01-12T00:00:00"/>
    <x v="1"/>
    <x v="1"/>
    <x v="1"/>
    <x v="0"/>
    <x v="9"/>
    <x v="3"/>
    <x v="1"/>
    <x v="1"/>
  </r>
  <r>
    <x v="246"/>
    <x v="1"/>
    <x v="9"/>
    <n v="47.3"/>
    <n v="236.5"/>
    <x v="10"/>
    <d v="2025-01-14T00:00:00"/>
    <x v="1"/>
    <x v="2"/>
    <x v="0"/>
    <x v="0"/>
    <x v="10"/>
    <x v="2"/>
    <x v="1"/>
    <x v="1"/>
  </r>
  <r>
    <x v="247"/>
    <x v="6"/>
    <x v="2"/>
    <n v="82.5"/>
    <n v="247.5"/>
    <x v="10"/>
    <d v="2025-01-12T00:00:00"/>
    <x v="1"/>
    <x v="0"/>
    <x v="0"/>
    <x v="0"/>
    <x v="11"/>
    <x v="3"/>
    <x v="1"/>
    <x v="1"/>
  </r>
  <r>
    <x v="248"/>
    <x v="0"/>
    <x v="0"/>
    <n v="14.3"/>
    <n v="14.3"/>
    <x v="10"/>
    <d v="2025-01-12T00:00:00"/>
    <x v="2"/>
    <x v="0"/>
    <x v="0"/>
    <x v="0"/>
    <x v="21"/>
    <x v="3"/>
    <x v="1"/>
    <x v="2"/>
  </r>
  <r>
    <x v="249"/>
    <x v="2"/>
    <x v="13"/>
    <n v="57.6"/>
    <n v="345.6"/>
    <x v="10"/>
    <d v="2025-01-25T00:00:00"/>
    <x v="2"/>
    <x v="0"/>
    <x v="0"/>
    <x v="0"/>
    <x v="21"/>
    <x v="12"/>
    <x v="1"/>
    <x v="2"/>
  </r>
  <r>
    <x v="250"/>
    <x v="2"/>
    <x v="2"/>
    <n v="142.4"/>
    <n v="427.20000000000005"/>
    <x v="10"/>
    <d v="2025-01-13T00:00:00"/>
    <x v="1"/>
    <x v="4"/>
    <x v="1"/>
    <x v="0"/>
    <x v="21"/>
    <x v="1"/>
    <x v="1"/>
    <x v="1"/>
  </r>
  <r>
    <x v="251"/>
    <x v="12"/>
    <x v="0"/>
    <n v="30.2"/>
    <n v="30.2"/>
    <x v="10"/>
    <d v="2025-01-15T00:00:00"/>
    <x v="1"/>
    <x v="1"/>
    <x v="2"/>
    <x v="0"/>
    <x v="2"/>
    <x v="5"/>
    <x v="1"/>
    <x v="1"/>
  </r>
  <r>
    <x v="252"/>
    <x v="18"/>
    <x v="2"/>
    <n v="65.3"/>
    <n v="195.89999999999998"/>
    <x v="10"/>
    <d v="2025-01-12T00:00:00"/>
    <x v="3"/>
    <x v="1"/>
    <x v="0"/>
    <x v="0"/>
    <x v="33"/>
    <x v="3"/>
    <x v="1"/>
    <x v="3"/>
  </r>
  <r>
    <x v="253"/>
    <x v="0"/>
    <x v="1"/>
    <n v="33.4"/>
    <n v="66.8"/>
    <x v="10"/>
    <d v="2025-01-12T00:00:00"/>
    <x v="1"/>
    <x v="1"/>
    <x v="1"/>
    <x v="0"/>
    <x v="22"/>
    <x v="3"/>
    <x v="1"/>
    <x v="1"/>
  </r>
  <r>
    <x v="254"/>
    <x v="7"/>
    <x v="1"/>
    <n v="45.1"/>
    <n v="90.2"/>
    <x v="10"/>
    <d v="2025-01-19T00:00:00"/>
    <x v="1"/>
    <x v="0"/>
    <x v="0"/>
    <x v="0"/>
    <x v="34"/>
    <x v="9"/>
    <x v="1"/>
    <x v="1"/>
  </r>
  <r>
    <x v="255"/>
    <x v="2"/>
    <x v="3"/>
    <n v="61.7"/>
    <n v="431.90000000000003"/>
    <x v="10"/>
    <d v="2025-01-13T00:00:00"/>
    <x v="2"/>
    <x v="4"/>
    <x v="0"/>
    <x v="0"/>
    <x v="3"/>
    <x v="1"/>
    <x v="1"/>
    <x v="2"/>
  </r>
  <r>
    <x v="256"/>
    <x v="9"/>
    <x v="2"/>
    <n v="45.1"/>
    <n v="135.30000000000001"/>
    <x v="11"/>
    <d v="2025-01-13T00:00:00"/>
    <x v="1"/>
    <x v="4"/>
    <x v="1"/>
    <x v="0"/>
    <x v="3"/>
    <x v="3"/>
    <x v="2"/>
    <x v="1"/>
  </r>
  <r>
    <x v="257"/>
    <x v="15"/>
    <x v="9"/>
    <n v="22.7"/>
    <n v="113.5"/>
    <x v="11"/>
    <d v="2025-01-17T00:00:00"/>
    <x v="1"/>
    <x v="0"/>
    <x v="2"/>
    <x v="0"/>
    <x v="35"/>
    <x v="0"/>
    <x v="2"/>
    <x v="1"/>
  </r>
  <r>
    <x v="258"/>
    <x v="8"/>
    <x v="0"/>
    <n v="17.600000000000001"/>
    <n v="17.600000000000001"/>
    <x v="11"/>
    <d v="2025-01-13T00:00:00"/>
    <x v="2"/>
    <x v="0"/>
    <x v="2"/>
    <x v="0"/>
    <x v="23"/>
    <x v="3"/>
    <x v="2"/>
    <x v="2"/>
  </r>
  <r>
    <x v="259"/>
    <x v="14"/>
    <x v="1"/>
    <n v="11.3"/>
    <n v="22.6"/>
    <x v="11"/>
    <d v="2025-01-15T00:00:00"/>
    <x v="2"/>
    <x v="3"/>
    <x v="2"/>
    <x v="0"/>
    <x v="23"/>
    <x v="2"/>
    <x v="2"/>
    <x v="2"/>
  </r>
  <r>
    <x v="260"/>
    <x v="6"/>
    <x v="2"/>
    <n v="53.4"/>
    <n v="160.19999999999999"/>
    <x v="11"/>
    <d v="2025-01-15T00:00:00"/>
    <x v="1"/>
    <x v="3"/>
    <x v="2"/>
    <x v="0"/>
    <x v="36"/>
    <x v="2"/>
    <x v="2"/>
    <x v="1"/>
  </r>
  <r>
    <x v="261"/>
    <x v="6"/>
    <x v="5"/>
    <n v="51.1"/>
    <n v="562.1"/>
    <x v="11"/>
    <d v="2025-01-14T00:00:00"/>
    <x v="2"/>
    <x v="2"/>
    <x v="2"/>
    <x v="0"/>
    <x v="8"/>
    <x v="1"/>
    <x v="2"/>
    <x v="2"/>
  </r>
  <r>
    <x v="262"/>
    <x v="8"/>
    <x v="1"/>
    <n v="27.5"/>
    <n v="55"/>
    <x v="11"/>
    <d v="2025-01-13T00:00:00"/>
    <x v="1"/>
    <x v="4"/>
    <x v="1"/>
    <x v="0"/>
    <x v="8"/>
    <x v="3"/>
    <x v="2"/>
    <x v="1"/>
  </r>
  <r>
    <x v="263"/>
    <x v="9"/>
    <x v="0"/>
    <n v="33.5"/>
    <n v="33.5"/>
    <x v="11"/>
    <d v="2025-01-14T00:00:00"/>
    <x v="2"/>
    <x v="0"/>
    <x v="4"/>
    <x v="0"/>
    <x v="8"/>
    <x v="1"/>
    <x v="2"/>
    <x v="2"/>
  </r>
  <r>
    <x v="264"/>
    <x v="4"/>
    <x v="0"/>
    <n v="59.5"/>
    <n v="59.5"/>
    <x v="11"/>
    <d v="2025-01-12T00:00:00"/>
    <x v="1"/>
    <x v="0"/>
    <x v="2"/>
    <x v="0"/>
    <x v="18"/>
    <x v="7"/>
    <x v="2"/>
    <x v="1"/>
  </r>
  <r>
    <x v="265"/>
    <x v="17"/>
    <x v="12"/>
    <n v="23.5"/>
    <n v="94"/>
    <x v="11"/>
    <d v="2025-01-13T00:00:00"/>
    <x v="2"/>
    <x v="3"/>
    <x v="3"/>
    <x v="0"/>
    <x v="19"/>
    <x v="3"/>
    <x v="2"/>
    <x v="2"/>
  </r>
  <r>
    <x v="266"/>
    <x v="6"/>
    <x v="0"/>
    <n v="49.7"/>
    <n v="49.7"/>
    <x v="11"/>
    <d v="2025-01-13T00:00:00"/>
    <x v="0"/>
    <x v="1"/>
    <x v="2"/>
    <x v="0"/>
    <x v="20"/>
    <x v="3"/>
    <x v="2"/>
    <x v="0"/>
  </r>
  <r>
    <x v="267"/>
    <x v="6"/>
    <x v="12"/>
    <n v="44.2"/>
    <n v="176.8"/>
    <x v="11"/>
    <d v="2025-01-15T00:00:00"/>
    <x v="2"/>
    <x v="0"/>
    <x v="2"/>
    <x v="0"/>
    <x v="21"/>
    <x v="2"/>
    <x v="2"/>
    <x v="2"/>
  </r>
  <r>
    <x v="268"/>
    <x v="8"/>
    <x v="0"/>
    <n v="22.1"/>
    <n v="22.1"/>
    <x v="11"/>
    <d v="2025-01-16T00:00:00"/>
    <x v="2"/>
    <x v="1"/>
    <x v="1"/>
    <x v="0"/>
    <x v="33"/>
    <x v="5"/>
    <x v="2"/>
    <x v="2"/>
  </r>
  <r>
    <x v="269"/>
    <x v="6"/>
    <x v="2"/>
    <n v="90.9"/>
    <n v="272.70000000000005"/>
    <x v="11"/>
    <d v="2025-01-13T00:00:00"/>
    <x v="2"/>
    <x v="2"/>
    <x v="4"/>
    <x v="0"/>
    <x v="3"/>
    <x v="3"/>
    <x v="2"/>
    <x v="2"/>
  </r>
  <r>
    <x v="270"/>
    <x v="8"/>
    <x v="2"/>
    <n v="44.5"/>
    <n v="133.5"/>
    <x v="11"/>
    <d v="2025-01-13T00:00:00"/>
    <x v="2"/>
    <x v="1"/>
    <x v="0"/>
    <x v="0"/>
    <x v="3"/>
    <x v="3"/>
    <x v="2"/>
    <x v="2"/>
  </r>
  <r>
    <x v="271"/>
    <x v="9"/>
    <x v="13"/>
    <n v="32.299999999999997"/>
    <n v="193.79999999999998"/>
    <x v="11"/>
    <d v="2025-01-16T00:00:00"/>
    <x v="2"/>
    <x v="0"/>
    <x v="0"/>
    <x v="0"/>
    <x v="3"/>
    <x v="5"/>
    <x v="2"/>
    <x v="2"/>
  </r>
  <r>
    <x v="272"/>
    <x v="17"/>
    <x v="2"/>
    <n v="87.5"/>
    <n v="262.5"/>
    <x v="11"/>
    <d v="2025-01-13T00:00:00"/>
    <x v="2"/>
    <x v="1"/>
    <x v="1"/>
    <x v="0"/>
    <x v="3"/>
    <x v="3"/>
    <x v="2"/>
    <x v="2"/>
  </r>
  <r>
    <x v="273"/>
    <x v="16"/>
    <x v="9"/>
    <n v="48.7"/>
    <n v="243.5"/>
    <x v="11"/>
    <d v="2025-01-13T00:00:00"/>
    <x v="1"/>
    <x v="2"/>
    <x v="0"/>
    <x v="0"/>
    <x v="3"/>
    <x v="3"/>
    <x v="2"/>
    <x v="1"/>
  </r>
  <r>
    <x v="274"/>
    <x v="0"/>
    <x v="9"/>
    <n v="22.5"/>
    <n v="112.5"/>
    <x v="11"/>
    <d v="2025-01-13T00:00:00"/>
    <x v="1"/>
    <x v="0"/>
    <x v="0"/>
    <x v="0"/>
    <x v="3"/>
    <x v="3"/>
    <x v="2"/>
    <x v="1"/>
  </r>
  <r>
    <x v="275"/>
    <x v="1"/>
    <x v="8"/>
    <n v="65.900000000000006"/>
    <n v="527.20000000000005"/>
    <x v="11"/>
    <d v="2025-01-15T00:00:00"/>
    <x v="2"/>
    <x v="1"/>
    <x v="2"/>
    <x v="0"/>
    <x v="3"/>
    <x v="2"/>
    <x v="2"/>
    <x v="2"/>
  </r>
  <r>
    <x v="276"/>
    <x v="6"/>
    <x v="9"/>
    <n v="41.9"/>
    <n v="209.5"/>
    <x v="11"/>
    <d v="2025-01-19T00:00:00"/>
    <x v="0"/>
    <x v="0"/>
    <x v="0"/>
    <x v="0"/>
    <x v="3"/>
    <x v="6"/>
    <x v="2"/>
    <x v="0"/>
  </r>
  <r>
    <x v="277"/>
    <x v="1"/>
    <x v="9"/>
    <n v="67.5"/>
    <n v="337.5"/>
    <x v="11"/>
    <d v="2025-01-13T00:00:00"/>
    <x v="2"/>
    <x v="0"/>
    <x v="2"/>
    <x v="0"/>
    <x v="3"/>
    <x v="3"/>
    <x v="2"/>
    <x v="2"/>
  </r>
  <r>
    <x v="278"/>
    <x v="9"/>
    <x v="0"/>
    <n v="60.4"/>
    <n v="60.4"/>
    <x v="12"/>
    <d v="2025-01-15T00:00:00"/>
    <x v="2"/>
    <x v="1"/>
    <x v="1"/>
    <x v="0"/>
    <x v="3"/>
    <x v="1"/>
    <x v="2"/>
    <x v="2"/>
  </r>
  <r>
    <x v="279"/>
    <x v="1"/>
    <x v="3"/>
    <n v="30.4"/>
    <n v="212.79999999999998"/>
    <x v="12"/>
    <d v="2025-01-16T00:00:00"/>
    <x v="2"/>
    <x v="4"/>
    <x v="0"/>
    <x v="0"/>
    <x v="3"/>
    <x v="2"/>
    <x v="2"/>
    <x v="2"/>
  </r>
  <r>
    <x v="280"/>
    <x v="14"/>
    <x v="1"/>
    <n v="24.5"/>
    <n v="49"/>
    <x v="12"/>
    <d v="2025-01-14T00:00:00"/>
    <x v="1"/>
    <x v="3"/>
    <x v="2"/>
    <x v="0"/>
    <x v="3"/>
    <x v="3"/>
    <x v="2"/>
    <x v="1"/>
  </r>
  <r>
    <x v="281"/>
    <x v="2"/>
    <x v="2"/>
    <n v="105.9"/>
    <n v="317.70000000000005"/>
    <x v="12"/>
    <d v="2025-01-18T00:00:00"/>
    <x v="1"/>
    <x v="0"/>
    <x v="0"/>
    <x v="0"/>
    <x v="37"/>
    <x v="0"/>
    <x v="2"/>
    <x v="1"/>
  </r>
  <r>
    <x v="282"/>
    <x v="10"/>
    <x v="25"/>
    <n v="25.9"/>
    <n v="621.59999999999991"/>
    <x v="12"/>
    <d v="2025-01-14T00:00:00"/>
    <x v="2"/>
    <x v="4"/>
    <x v="0"/>
    <x v="0"/>
    <x v="23"/>
    <x v="3"/>
    <x v="2"/>
    <x v="2"/>
  </r>
  <r>
    <x v="283"/>
    <x v="6"/>
    <x v="2"/>
    <n v="66.8"/>
    <n v="200.39999999999998"/>
    <x v="12"/>
    <d v="2025-01-13T00:00:00"/>
    <x v="1"/>
    <x v="0"/>
    <x v="0"/>
    <x v="0"/>
    <x v="23"/>
    <x v="7"/>
    <x v="2"/>
    <x v="1"/>
  </r>
  <r>
    <x v="284"/>
    <x v="6"/>
    <x v="2"/>
    <n v="112.3"/>
    <n v="336.9"/>
    <x v="12"/>
    <d v="2025-01-14T00:00:00"/>
    <x v="1"/>
    <x v="2"/>
    <x v="4"/>
    <x v="0"/>
    <x v="6"/>
    <x v="3"/>
    <x v="2"/>
    <x v="1"/>
  </r>
  <r>
    <x v="285"/>
    <x v="1"/>
    <x v="13"/>
    <n v="94.1"/>
    <n v="564.59999999999991"/>
    <x v="12"/>
    <d v="2025-01-14T00:00:00"/>
    <x v="2"/>
    <x v="0"/>
    <x v="4"/>
    <x v="0"/>
    <x v="6"/>
    <x v="3"/>
    <x v="2"/>
    <x v="2"/>
  </r>
  <r>
    <x v="286"/>
    <x v="5"/>
    <x v="0"/>
    <n v="40.700000000000003"/>
    <n v="40.700000000000003"/>
    <x v="12"/>
    <d v="2025-01-16T00:00:00"/>
    <x v="2"/>
    <x v="2"/>
    <x v="0"/>
    <x v="0"/>
    <x v="6"/>
    <x v="2"/>
    <x v="2"/>
    <x v="2"/>
  </r>
  <r>
    <x v="287"/>
    <x v="3"/>
    <x v="1"/>
    <n v="71.400000000000006"/>
    <n v="142.80000000000001"/>
    <x v="12"/>
    <d v="2025-01-14T00:00:00"/>
    <x v="1"/>
    <x v="0"/>
    <x v="0"/>
    <x v="0"/>
    <x v="7"/>
    <x v="3"/>
    <x v="2"/>
    <x v="1"/>
  </r>
  <r>
    <x v="288"/>
    <x v="0"/>
    <x v="16"/>
    <n v="15.6"/>
    <n v="280.8"/>
    <x v="12"/>
    <d v="2025-01-14T00:00:00"/>
    <x v="1"/>
    <x v="1"/>
    <x v="3"/>
    <x v="0"/>
    <x v="8"/>
    <x v="3"/>
    <x v="2"/>
    <x v="1"/>
  </r>
  <r>
    <x v="289"/>
    <x v="10"/>
    <x v="12"/>
    <n v="37.799999999999997"/>
    <n v="151.19999999999999"/>
    <x v="12"/>
    <d v="2025-01-14T00:00:00"/>
    <x v="1"/>
    <x v="2"/>
    <x v="2"/>
    <x v="0"/>
    <x v="8"/>
    <x v="3"/>
    <x v="2"/>
    <x v="1"/>
  </r>
  <r>
    <x v="290"/>
    <x v="4"/>
    <x v="2"/>
    <n v="28.1"/>
    <n v="84.300000000000011"/>
    <x v="12"/>
    <d v="2025-01-17T00:00:00"/>
    <x v="1"/>
    <x v="0"/>
    <x v="0"/>
    <x v="0"/>
    <x v="8"/>
    <x v="5"/>
    <x v="2"/>
    <x v="1"/>
  </r>
  <r>
    <x v="291"/>
    <x v="7"/>
    <x v="13"/>
    <n v="51.4"/>
    <n v="308.39999999999998"/>
    <x v="12"/>
    <d v="2025-01-17T00:00:00"/>
    <x v="1"/>
    <x v="0"/>
    <x v="0"/>
    <x v="0"/>
    <x v="8"/>
    <x v="5"/>
    <x v="2"/>
    <x v="1"/>
  </r>
  <r>
    <x v="292"/>
    <x v="7"/>
    <x v="1"/>
    <n v="97.7"/>
    <n v="195.4"/>
    <x v="12"/>
    <d v="2025-01-15T00:00:00"/>
    <x v="2"/>
    <x v="4"/>
    <x v="2"/>
    <x v="0"/>
    <x v="17"/>
    <x v="1"/>
    <x v="2"/>
    <x v="2"/>
  </r>
  <r>
    <x v="293"/>
    <x v="1"/>
    <x v="12"/>
    <n v="63.8"/>
    <n v="255.2"/>
    <x v="12"/>
    <d v="2025-01-14T00:00:00"/>
    <x v="1"/>
    <x v="2"/>
    <x v="0"/>
    <x v="0"/>
    <x v="38"/>
    <x v="3"/>
    <x v="2"/>
    <x v="1"/>
  </r>
  <r>
    <x v="294"/>
    <x v="13"/>
    <x v="1"/>
    <n v="20.100000000000001"/>
    <n v="40.200000000000003"/>
    <x v="12"/>
    <d v="2025-01-15T00:00:00"/>
    <x v="1"/>
    <x v="0"/>
    <x v="2"/>
    <x v="0"/>
    <x v="20"/>
    <x v="1"/>
    <x v="2"/>
    <x v="1"/>
  </r>
  <r>
    <x v="295"/>
    <x v="11"/>
    <x v="2"/>
    <n v="50.4"/>
    <n v="151.19999999999999"/>
    <x v="12"/>
    <d v="2025-01-16T00:00:00"/>
    <x v="2"/>
    <x v="3"/>
    <x v="0"/>
    <x v="0"/>
    <x v="13"/>
    <x v="2"/>
    <x v="2"/>
    <x v="2"/>
  </r>
  <r>
    <x v="296"/>
    <x v="0"/>
    <x v="0"/>
    <n v="16.2"/>
    <n v="16.2"/>
    <x v="12"/>
    <d v="2025-01-26T00:00:00"/>
    <x v="2"/>
    <x v="1"/>
    <x v="0"/>
    <x v="0"/>
    <x v="1"/>
    <x v="10"/>
    <x v="2"/>
    <x v="2"/>
  </r>
  <r>
    <x v="297"/>
    <x v="6"/>
    <x v="3"/>
    <n v="80.900000000000006"/>
    <n v="566.30000000000007"/>
    <x v="12"/>
    <d v="2025-01-15T00:00:00"/>
    <x v="1"/>
    <x v="4"/>
    <x v="4"/>
    <x v="0"/>
    <x v="2"/>
    <x v="1"/>
    <x v="2"/>
    <x v="1"/>
  </r>
  <r>
    <x v="298"/>
    <x v="9"/>
    <x v="13"/>
    <n v="95.2"/>
    <n v="571.20000000000005"/>
    <x v="12"/>
    <d v="2025-01-15T00:00:00"/>
    <x v="2"/>
    <x v="0"/>
    <x v="2"/>
    <x v="0"/>
    <x v="2"/>
    <x v="1"/>
    <x v="2"/>
    <x v="2"/>
  </r>
  <r>
    <x v="299"/>
    <x v="5"/>
    <x v="8"/>
    <n v="70.400000000000006"/>
    <n v="563.20000000000005"/>
    <x v="12"/>
    <d v="2025-01-14T00:00:00"/>
    <x v="1"/>
    <x v="1"/>
    <x v="1"/>
    <x v="0"/>
    <x v="3"/>
    <x v="3"/>
    <x v="2"/>
    <x v="1"/>
  </r>
  <r>
    <x v="300"/>
    <x v="0"/>
    <x v="9"/>
    <n v="10.7"/>
    <n v="53.5"/>
    <x v="12"/>
    <d v="2025-01-17T00:00:00"/>
    <x v="2"/>
    <x v="2"/>
    <x v="0"/>
    <x v="0"/>
    <x v="3"/>
    <x v="5"/>
    <x v="2"/>
    <x v="2"/>
  </r>
  <r>
    <x v="301"/>
    <x v="8"/>
    <x v="9"/>
    <n v="19.600000000000001"/>
    <n v="98"/>
    <x v="12"/>
    <d v="2025-01-15T00:00:00"/>
    <x v="2"/>
    <x v="0"/>
    <x v="3"/>
    <x v="0"/>
    <x v="3"/>
    <x v="1"/>
    <x v="2"/>
    <x v="2"/>
  </r>
  <r>
    <x v="302"/>
    <x v="8"/>
    <x v="5"/>
    <n v="34.700000000000003"/>
    <n v="381.70000000000005"/>
    <x v="12"/>
    <d v="2025-01-15T00:00:00"/>
    <x v="2"/>
    <x v="0"/>
    <x v="2"/>
    <x v="0"/>
    <x v="3"/>
    <x v="1"/>
    <x v="2"/>
    <x v="2"/>
  </r>
  <r>
    <x v="303"/>
    <x v="10"/>
    <x v="11"/>
    <n v="34.1"/>
    <n v="306.90000000000003"/>
    <x v="12"/>
    <d v="2025-01-14T00:00:00"/>
    <x v="2"/>
    <x v="4"/>
    <x v="1"/>
    <x v="0"/>
    <x v="3"/>
    <x v="3"/>
    <x v="2"/>
    <x v="2"/>
  </r>
  <r>
    <x v="304"/>
    <x v="0"/>
    <x v="26"/>
    <n v="29.3"/>
    <n v="1435.7"/>
    <x v="12"/>
    <d v="2025-01-13T00:00:00"/>
    <x v="1"/>
    <x v="0"/>
    <x v="1"/>
    <x v="0"/>
    <x v="3"/>
    <x v="7"/>
    <x v="2"/>
    <x v="1"/>
  </r>
  <r>
    <x v="305"/>
    <x v="1"/>
    <x v="0"/>
    <n v="55.2"/>
    <n v="55.2"/>
    <x v="12"/>
    <d v="2025-01-14T00:00:00"/>
    <x v="2"/>
    <x v="0"/>
    <x v="1"/>
    <x v="0"/>
    <x v="3"/>
    <x v="3"/>
    <x v="2"/>
    <x v="2"/>
  </r>
  <r>
    <x v="306"/>
    <x v="18"/>
    <x v="2"/>
    <n v="26"/>
    <n v="78"/>
    <x v="12"/>
    <d v="2025-01-16T00:00:00"/>
    <x v="2"/>
    <x v="0"/>
    <x v="2"/>
    <x v="0"/>
    <x v="3"/>
    <x v="2"/>
    <x v="2"/>
    <x v="2"/>
  </r>
  <r>
    <x v="307"/>
    <x v="14"/>
    <x v="1"/>
    <n v="14.2"/>
    <n v="28.4"/>
    <x v="12"/>
    <d v="2025-01-18T00:00:00"/>
    <x v="2"/>
    <x v="3"/>
    <x v="0"/>
    <x v="0"/>
    <x v="39"/>
    <x v="0"/>
    <x v="2"/>
    <x v="2"/>
  </r>
  <r>
    <x v="308"/>
    <x v="8"/>
    <x v="11"/>
    <n v="22.7"/>
    <n v="204.29999999999998"/>
    <x v="13"/>
    <d v="2025-01-15T00:00:00"/>
    <x v="1"/>
    <x v="1"/>
    <x v="0"/>
    <x v="0"/>
    <x v="6"/>
    <x v="3"/>
    <x v="2"/>
    <x v="1"/>
  </r>
  <r>
    <x v="309"/>
    <x v="0"/>
    <x v="20"/>
    <n v="19.8"/>
    <n v="297"/>
    <x v="13"/>
    <d v="2025-01-14T00:00:00"/>
    <x v="2"/>
    <x v="0"/>
    <x v="2"/>
    <x v="0"/>
    <x v="6"/>
    <x v="7"/>
    <x v="2"/>
    <x v="2"/>
  </r>
  <r>
    <x v="310"/>
    <x v="0"/>
    <x v="2"/>
    <n v="31.7"/>
    <n v="95.1"/>
    <x v="13"/>
    <d v="2025-01-15T00:00:00"/>
    <x v="1"/>
    <x v="2"/>
    <x v="0"/>
    <x v="0"/>
    <x v="6"/>
    <x v="3"/>
    <x v="2"/>
    <x v="1"/>
  </r>
  <r>
    <x v="311"/>
    <x v="8"/>
    <x v="12"/>
    <n v="30.4"/>
    <n v="121.6"/>
    <x v="13"/>
    <d v="2025-01-18T00:00:00"/>
    <x v="1"/>
    <x v="0"/>
    <x v="0"/>
    <x v="0"/>
    <x v="6"/>
    <x v="5"/>
    <x v="2"/>
    <x v="1"/>
  </r>
  <r>
    <x v="312"/>
    <x v="0"/>
    <x v="12"/>
    <n v="25.6"/>
    <n v="102.4"/>
    <x v="13"/>
    <d v="2025-01-15T00:00:00"/>
    <x v="1"/>
    <x v="3"/>
    <x v="0"/>
    <x v="0"/>
    <x v="8"/>
    <x v="3"/>
    <x v="2"/>
    <x v="1"/>
  </r>
  <r>
    <x v="313"/>
    <x v="5"/>
    <x v="1"/>
    <n v="34.9"/>
    <n v="69.8"/>
    <x v="13"/>
    <d v="2025-01-15T00:00:00"/>
    <x v="2"/>
    <x v="2"/>
    <x v="0"/>
    <x v="0"/>
    <x v="9"/>
    <x v="3"/>
    <x v="2"/>
    <x v="2"/>
  </r>
  <r>
    <x v="314"/>
    <x v="7"/>
    <x v="13"/>
    <n v="42.7"/>
    <n v="256.20000000000005"/>
    <x v="13"/>
    <d v="2025-01-17T00:00:00"/>
    <x v="1"/>
    <x v="2"/>
    <x v="1"/>
    <x v="0"/>
    <x v="11"/>
    <x v="2"/>
    <x v="2"/>
    <x v="1"/>
  </r>
  <r>
    <x v="315"/>
    <x v="8"/>
    <x v="0"/>
    <n v="23.9"/>
    <n v="23.9"/>
    <x v="13"/>
    <d v="2025-01-16T00:00:00"/>
    <x v="2"/>
    <x v="3"/>
    <x v="0"/>
    <x v="0"/>
    <x v="11"/>
    <x v="1"/>
    <x v="2"/>
    <x v="2"/>
  </r>
  <r>
    <x v="316"/>
    <x v="6"/>
    <x v="0"/>
    <n v="124.3"/>
    <n v="124.3"/>
    <x v="13"/>
    <d v="2025-01-15T00:00:00"/>
    <x v="0"/>
    <x v="2"/>
    <x v="1"/>
    <x v="0"/>
    <x v="21"/>
    <x v="3"/>
    <x v="2"/>
    <x v="0"/>
  </r>
  <r>
    <x v="317"/>
    <x v="8"/>
    <x v="13"/>
    <n v="35.9"/>
    <n v="215.39999999999998"/>
    <x v="13"/>
    <d v="2025-01-15T00:00:00"/>
    <x v="2"/>
    <x v="0"/>
    <x v="1"/>
    <x v="0"/>
    <x v="1"/>
    <x v="3"/>
    <x v="2"/>
    <x v="2"/>
  </r>
  <r>
    <x v="318"/>
    <x v="2"/>
    <x v="1"/>
    <n v="69.099999999999994"/>
    <n v="138.19999999999999"/>
    <x v="13"/>
    <d v="2025-01-17T00:00:00"/>
    <x v="2"/>
    <x v="0"/>
    <x v="2"/>
    <x v="0"/>
    <x v="22"/>
    <x v="2"/>
    <x v="2"/>
    <x v="2"/>
  </r>
  <r>
    <x v="319"/>
    <x v="7"/>
    <x v="0"/>
    <n v="58.4"/>
    <n v="58.4"/>
    <x v="13"/>
    <d v="2025-01-18T00:00:00"/>
    <x v="1"/>
    <x v="0"/>
    <x v="0"/>
    <x v="0"/>
    <x v="22"/>
    <x v="5"/>
    <x v="2"/>
    <x v="1"/>
  </r>
  <r>
    <x v="320"/>
    <x v="5"/>
    <x v="0"/>
    <n v="65.2"/>
    <n v="65.2"/>
    <x v="13"/>
    <d v="2025-01-16T00:00:00"/>
    <x v="3"/>
    <x v="4"/>
    <x v="4"/>
    <x v="0"/>
    <x v="3"/>
    <x v="1"/>
    <x v="2"/>
    <x v="3"/>
  </r>
  <r>
    <x v="321"/>
    <x v="8"/>
    <x v="14"/>
    <n v="32.700000000000003"/>
    <n v="555.90000000000009"/>
    <x v="13"/>
    <d v="2025-01-21T00:00:00"/>
    <x v="0"/>
    <x v="4"/>
    <x v="0"/>
    <x v="0"/>
    <x v="3"/>
    <x v="6"/>
    <x v="2"/>
    <x v="0"/>
  </r>
  <r>
    <x v="322"/>
    <x v="10"/>
    <x v="3"/>
    <n v="24.4"/>
    <n v="170.79999999999998"/>
    <x v="13"/>
    <d v="2025-01-15T00:00:00"/>
    <x v="2"/>
    <x v="0"/>
    <x v="0"/>
    <x v="0"/>
    <x v="3"/>
    <x v="3"/>
    <x v="2"/>
    <x v="2"/>
  </r>
  <r>
    <x v="323"/>
    <x v="14"/>
    <x v="1"/>
    <n v="50.4"/>
    <n v="100.8"/>
    <x v="13"/>
    <d v="2025-01-20T00:00:00"/>
    <x v="1"/>
    <x v="0"/>
    <x v="1"/>
    <x v="0"/>
    <x v="3"/>
    <x v="4"/>
    <x v="2"/>
    <x v="1"/>
  </r>
  <r>
    <x v="324"/>
    <x v="1"/>
    <x v="1"/>
    <n v="100"/>
    <n v="200"/>
    <x v="13"/>
    <d v="2025-01-15T00:00:00"/>
    <x v="2"/>
    <x v="0"/>
    <x v="0"/>
    <x v="0"/>
    <x v="3"/>
    <x v="3"/>
    <x v="2"/>
    <x v="2"/>
  </r>
  <r>
    <x v="325"/>
    <x v="10"/>
    <x v="2"/>
    <n v="43"/>
    <n v="129"/>
    <x v="14"/>
    <d v="2025-01-15T00:00:00"/>
    <x v="2"/>
    <x v="2"/>
    <x v="1"/>
    <x v="0"/>
    <x v="3"/>
    <x v="7"/>
    <x v="2"/>
    <x v="2"/>
  </r>
  <r>
    <x v="326"/>
    <x v="1"/>
    <x v="9"/>
    <n v="64.400000000000006"/>
    <n v="322"/>
    <x v="14"/>
    <d v="2025-01-17T00:00:00"/>
    <x v="1"/>
    <x v="2"/>
    <x v="1"/>
    <x v="0"/>
    <x v="3"/>
    <x v="1"/>
    <x v="2"/>
    <x v="1"/>
  </r>
  <r>
    <x v="327"/>
    <x v="18"/>
    <x v="1"/>
    <n v="57.4"/>
    <n v="114.8"/>
    <x v="14"/>
    <d v="2025-01-16T00:00:00"/>
    <x v="1"/>
    <x v="2"/>
    <x v="1"/>
    <x v="0"/>
    <x v="3"/>
    <x v="3"/>
    <x v="2"/>
    <x v="1"/>
  </r>
  <r>
    <x v="328"/>
    <x v="2"/>
    <x v="2"/>
    <n v="55.1"/>
    <n v="165.3"/>
    <x v="14"/>
    <d v="2025-01-18T00:00:00"/>
    <x v="2"/>
    <x v="1"/>
    <x v="0"/>
    <x v="0"/>
    <x v="3"/>
    <x v="2"/>
    <x v="2"/>
    <x v="2"/>
  </r>
  <r>
    <x v="329"/>
    <x v="7"/>
    <x v="12"/>
    <n v="45.4"/>
    <n v="181.6"/>
    <x v="14"/>
    <d v="2025-01-16T00:00:00"/>
    <x v="2"/>
    <x v="1"/>
    <x v="0"/>
    <x v="0"/>
    <x v="3"/>
    <x v="3"/>
    <x v="2"/>
    <x v="2"/>
  </r>
  <r>
    <x v="330"/>
    <x v="3"/>
    <x v="2"/>
    <n v="93.3"/>
    <n v="279.89999999999998"/>
    <x v="14"/>
    <d v="2025-01-16T00:00:00"/>
    <x v="2"/>
    <x v="0"/>
    <x v="0"/>
    <x v="0"/>
    <x v="40"/>
    <x v="3"/>
    <x v="2"/>
    <x v="2"/>
  </r>
  <r>
    <x v="331"/>
    <x v="2"/>
    <x v="10"/>
    <n v="158.19999999999999"/>
    <n v="3005.7999999999997"/>
    <x v="14"/>
    <d v="2025-01-16T00:00:00"/>
    <x v="2"/>
    <x v="1"/>
    <x v="2"/>
    <x v="0"/>
    <x v="16"/>
    <x v="3"/>
    <x v="2"/>
    <x v="2"/>
  </r>
  <r>
    <x v="332"/>
    <x v="2"/>
    <x v="1"/>
    <n v="74.900000000000006"/>
    <n v="149.80000000000001"/>
    <x v="14"/>
    <d v="2025-01-17T00:00:00"/>
    <x v="1"/>
    <x v="3"/>
    <x v="0"/>
    <x v="0"/>
    <x v="6"/>
    <x v="1"/>
    <x v="2"/>
    <x v="1"/>
  </r>
  <r>
    <x v="333"/>
    <x v="8"/>
    <x v="3"/>
    <n v="26"/>
    <n v="182"/>
    <x v="14"/>
    <d v="2025-01-18T00:00:00"/>
    <x v="2"/>
    <x v="1"/>
    <x v="0"/>
    <x v="0"/>
    <x v="8"/>
    <x v="2"/>
    <x v="2"/>
    <x v="2"/>
  </r>
  <r>
    <x v="334"/>
    <x v="9"/>
    <x v="13"/>
    <n v="37.5"/>
    <n v="225"/>
    <x v="14"/>
    <d v="2025-01-16T00:00:00"/>
    <x v="2"/>
    <x v="0"/>
    <x v="1"/>
    <x v="0"/>
    <x v="8"/>
    <x v="3"/>
    <x v="2"/>
    <x v="2"/>
  </r>
  <r>
    <x v="335"/>
    <x v="6"/>
    <x v="1"/>
    <n v="75.8"/>
    <n v="151.6"/>
    <x v="14"/>
    <d v="2025-01-21T00:00:00"/>
    <x v="1"/>
    <x v="0"/>
    <x v="0"/>
    <x v="0"/>
    <x v="8"/>
    <x v="4"/>
    <x v="2"/>
    <x v="1"/>
  </r>
  <r>
    <x v="336"/>
    <x v="7"/>
    <x v="0"/>
    <n v="48.5"/>
    <n v="48.5"/>
    <x v="14"/>
    <d v="2025-01-27T00:00:00"/>
    <x v="0"/>
    <x v="4"/>
    <x v="2"/>
    <x v="0"/>
    <x v="8"/>
    <x v="13"/>
    <x v="2"/>
    <x v="0"/>
  </r>
  <r>
    <x v="337"/>
    <x v="6"/>
    <x v="2"/>
    <n v="98.9"/>
    <n v="296.70000000000005"/>
    <x v="14"/>
    <d v="2025-01-17T00:00:00"/>
    <x v="2"/>
    <x v="4"/>
    <x v="1"/>
    <x v="0"/>
    <x v="8"/>
    <x v="1"/>
    <x v="2"/>
    <x v="2"/>
  </r>
  <r>
    <x v="338"/>
    <x v="1"/>
    <x v="4"/>
    <n v="50.9"/>
    <n v="610.79999999999995"/>
    <x v="14"/>
    <d v="2025-01-15T00:00:00"/>
    <x v="1"/>
    <x v="4"/>
    <x v="0"/>
    <x v="0"/>
    <x v="8"/>
    <x v="7"/>
    <x v="2"/>
    <x v="1"/>
  </r>
  <r>
    <x v="339"/>
    <x v="12"/>
    <x v="13"/>
    <n v="84.7"/>
    <n v="508.20000000000005"/>
    <x v="14"/>
    <d v="2025-01-15T00:00:00"/>
    <x v="2"/>
    <x v="2"/>
    <x v="0"/>
    <x v="0"/>
    <x v="8"/>
    <x v="7"/>
    <x v="2"/>
    <x v="2"/>
  </r>
  <r>
    <x v="340"/>
    <x v="8"/>
    <x v="0"/>
    <n v="20.7"/>
    <n v="20.7"/>
    <x v="14"/>
    <d v="2025-01-17T00:00:00"/>
    <x v="2"/>
    <x v="3"/>
    <x v="2"/>
    <x v="0"/>
    <x v="8"/>
    <x v="1"/>
    <x v="2"/>
    <x v="2"/>
  </r>
  <r>
    <x v="341"/>
    <x v="12"/>
    <x v="11"/>
    <n v="57.8"/>
    <n v="520.19999999999993"/>
    <x v="14"/>
    <d v="2025-01-26T00:00:00"/>
    <x v="1"/>
    <x v="0"/>
    <x v="4"/>
    <x v="0"/>
    <x v="17"/>
    <x v="11"/>
    <x v="2"/>
    <x v="1"/>
  </r>
  <r>
    <x v="342"/>
    <x v="2"/>
    <x v="1"/>
    <n v="106.9"/>
    <n v="213.8"/>
    <x v="14"/>
    <d v="2025-01-17T00:00:00"/>
    <x v="2"/>
    <x v="0"/>
    <x v="2"/>
    <x v="0"/>
    <x v="41"/>
    <x v="1"/>
    <x v="2"/>
    <x v="2"/>
  </r>
  <r>
    <x v="343"/>
    <x v="3"/>
    <x v="9"/>
    <n v="45.2"/>
    <n v="226"/>
    <x v="14"/>
    <d v="2025-01-19T00:00:00"/>
    <x v="2"/>
    <x v="1"/>
    <x v="0"/>
    <x v="0"/>
    <x v="21"/>
    <x v="5"/>
    <x v="2"/>
    <x v="2"/>
  </r>
  <r>
    <x v="344"/>
    <x v="8"/>
    <x v="15"/>
    <n v="34.6"/>
    <n v="449.8"/>
    <x v="14"/>
    <d v="2025-01-15T00:00:00"/>
    <x v="2"/>
    <x v="1"/>
    <x v="1"/>
    <x v="0"/>
    <x v="21"/>
    <x v="7"/>
    <x v="2"/>
    <x v="2"/>
  </r>
  <r>
    <x v="345"/>
    <x v="15"/>
    <x v="0"/>
    <n v="43.8"/>
    <n v="43.8"/>
    <x v="14"/>
    <d v="2025-01-17T00:00:00"/>
    <x v="0"/>
    <x v="0"/>
    <x v="2"/>
    <x v="0"/>
    <x v="21"/>
    <x v="1"/>
    <x v="2"/>
    <x v="0"/>
  </r>
  <r>
    <x v="346"/>
    <x v="15"/>
    <x v="0"/>
    <n v="20.399999999999999"/>
    <n v="20.399999999999999"/>
    <x v="14"/>
    <d v="2025-01-17T00:00:00"/>
    <x v="1"/>
    <x v="4"/>
    <x v="1"/>
    <x v="0"/>
    <x v="21"/>
    <x v="1"/>
    <x v="2"/>
    <x v="1"/>
  </r>
  <r>
    <x v="347"/>
    <x v="1"/>
    <x v="0"/>
    <n v="36.700000000000003"/>
    <n v="36.700000000000003"/>
    <x v="14"/>
    <d v="2025-01-16T00:00:00"/>
    <x v="1"/>
    <x v="0"/>
    <x v="1"/>
    <x v="0"/>
    <x v="1"/>
    <x v="3"/>
    <x v="2"/>
    <x v="1"/>
  </r>
  <r>
    <x v="348"/>
    <x v="8"/>
    <x v="2"/>
    <n v="27.2"/>
    <n v="81.599999999999994"/>
    <x v="14"/>
    <d v="2025-01-19T00:00:00"/>
    <x v="1"/>
    <x v="0"/>
    <x v="2"/>
    <x v="0"/>
    <x v="1"/>
    <x v="5"/>
    <x v="2"/>
    <x v="1"/>
  </r>
  <r>
    <x v="349"/>
    <x v="6"/>
    <x v="0"/>
    <n v="58.2"/>
    <n v="58.2"/>
    <x v="14"/>
    <d v="2025-01-16T00:00:00"/>
    <x v="2"/>
    <x v="0"/>
    <x v="2"/>
    <x v="0"/>
    <x v="42"/>
    <x v="3"/>
    <x v="2"/>
    <x v="2"/>
  </r>
  <r>
    <x v="350"/>
    <x v="8"/>
    <x v="2"/>
    <n v="25.6"/>
    <n v="76.800000000000011"/>
    <x v="14"/>
    <d v="2025-01-16T00:00:00"/>
    <x v="1"/>
    <x v="4"/>
    <x v="4"/>
    <x v="0"/>
    <x v="2"/>
    <x v="3"/>
    <x v="2"/>
    <x v="1"/>
  </r>
  <r>
    <x v="351"/>
    <x v="10"/>
    <x v="0"/>
    <n v="21.2"/>
    <n v="21.2"/>
    <x v="14"/>
    <d v="2025-01-15T00:00:00"/>
    <x v="2"/>
    <x v="1"/>
    <x v="2"/>
    <x v="0"/>
    <x v="3"/>
    <x v="7"/>
    <x v="2"/>
    <x v="2"/>
  </r>
  <r>
    <x v="352"/>
    <x v="6"/>
    <x v="1"/>
    <n v="48.2"/>
    <n v="96.4"/>
    <x v="14"/>
    <d v="2025-01-23T00:00:00"/>
    <x v="2"/>
    <x v="0"/>
    <x v="2"/>
    <x v="0"/>
    <x v="3"/>
    <x v="9"/>
    <x v="2"/>
    <x v="2"/>
  </r>
  <r>
    <x v="353"/>
    <x v="1"/>
    <x v="12"/>
    <n v="83.4"/>
    <n v="333.6"/>
    <x v="15"/>
    <d v="2025-01-17T00:00:00"/>
    <x v="1"/>
    <x v="0"/>
    <x v="0"/>
    <x v="0"/>
    <x v="3"/>
    <x v="3"/>
    <x v="2"/>
    <x v="1"/>
  </r>
  <r>
    <x v="354"/>
    <x v="9"/>
    <x v="2"/>
    <n v="45.3"/>
    <n v="135.89999999999998"/>
    <x v="15"/>
    <d v="2025-01-22T00:00:00"/>
    <x v="1"/>
    <x v="2"/>
    <x v="1"/>
    <x v="0"/>
    <x v="3"/>
    <x v="4"/>
    <x v="2"/>
    <x v="1"/>
  </r>
  <r>
    <x v="355"/>
    <x v="17"/>
    <x v="0"/>
    <n v="42"/>
    <n v="42"/>
    <x v="15"/>
    <d v="2025-01-17T00:00:00"/>
    <x v="0"/>
    <x v="0"/>
    <x v="0"/>
    <x v="0"/>
    <x v="3"/>
    <x v="3"/>
    <x v="2"/>
    <x v="0"/>
  </r>
  <r>
    <x v="356"/>
    <x v="0"/>
    <x v="11"/>
    <n v="21.8"/>
    <n v="196.20000000000002"/>
    <x v="15"/>
    <d v="2025-01-18T00:00:00"/>
    <x v="2"/>
    <x v="1"/>
    <x v="0"/>
    <x v="0"/>
    <x v="3"/>
    <x v="1"/>
    <x v="2"/>
    <x v="2"/>
  </r>
  <r>
    <x v="357"/>
    <x v="8"/>
    <x v="16"/>
    <n v="21.4"/>
    <n v="385.2"/>
    <x v="15"/>
    <d v="2025-01-19T00:00:00"/>
    <x v="2"/>
    <x v="1"/>
    <x v="2"/>
    <x v="0"/>
    <x v="3"/>
    <x v="2"/>
    <x v="2"/>
    <x v="2"/>
  </r>
  <r>
    <x v="358"/>
    <x v="10"/>
    <x v="2"/>
    <n v="45"/>
    <n v="135"/>
    <x v="15"/>
    <d v="2025-01-16T00:00:00"/>
    <x v="2"/>
    <x v="1"/>
    <x v="2"/>
    <x v="0"/>
    <x v="3"/>
    <x v="7"/>
    <x v="2"/>
    <x v="2"/>
  </r>
  <r>
    <x v="359"/>
    <x v="14"/>
    <x v="0"/>
    <n v="39.6"/>
    <n v="39.6"/>
    <x v="15"/>
    <d v="2025-01-17T00:00:00"/>
    <x v="1"/>
    <x v="0"/>
    <x v="2"/>
    <x v="0"/>
    <x v="3"/>
    <x v="3"/>
    <x v="2"/>
    <x v="1"/>
  </r>
  <r>
    <x v="360"/>
    <x v="12"/>
    <x v="2"/>
    <n v="79.8"/>
    <n v="239.39999999999998"/>
    <x v="15"/>
    <d v="2025-01-22T00:00:00"/>
    <x v="2"/>
    <x v="1"/>
    <x v="4"/>
    <x v="0"/>
    <x v="3"/>
    <x v="4"/>
    <x v="2"/>
    <x v="2"/>
  </r>
  <r>
    <x v="361"/>
    <x v="1"/>
    <x v="12"/>
    <n v="63.6"/>
    <n v="254.4"/>
    <x v="15"/>
    <d v="2025-01-17T00:00:00"/>
    <x v="3"/>
    <x v="0"/>
    <x v="2"/>
    <x v="0"/>
    <x v="24"/>
    <x v="3"/>
    <x v="2"/>
    <x v="3"/>
  </r>
  <r>
    <x v="362"/>
    <x v="7"/>
    <x v="7"/>
    <n v="92.7"/>
    <n v="927"/>
    <x v="15"/>
    <d v="2025-01-20T00:00:00"/>
    <x v="1"/>
    <x v="1"/>
    <x v="2"/>
    <x v="0"/>
    <x v="6"/>
    <x v="5"/>
    <x v="2"/>
    <x v="1"/>
  </r>
  <r>
    <x v="363"/>
    <x v="1"/>
    <x v="12"/>
    <n v="48.4"/>
    <n v="193.6"/>
    <x v="15"/>
    <d v="2025-01-18T00:00:00"/>
    <x v="2"/>
    <x v="1"/>
    <x v="2"/>
    <x v="0"/>
    <x v="6"/>
    <x v="1"/>
    <x v="2"/>
    <x v="2"/>
  </r>
  <r>
    <x v="364"/>
    <x v="9"/>
    <x v="8"/>
    <n v="36"/>
    <n v="288"/>
    <x v="15"/>
    <d v="2025-01-19T00:00:00"/>
    <x v="1"/>
    <x v="2"/>
    <x v="2"/>
    <x v="0"/>
    <x v="8"/>
    <x v="2"/>
    <x v="2"/>
    <x v="1"/>
  </r>
  <r>
    <x v="365"/>
    <x v="8"/>
    <x v="4"/>
    <n v="27"/>
    <n v="324"/>
    <x v="15"/>
    <d v="2025-01-18T00:00:00"/>
    <x v="2"/>
    <x v="2"/>
    <x v="1"/>
    <x v="0"/>
    <x v="8"/>
    <x v="1"/>
    <x v="2"/>
    <x v="2"/>
  </r>
  <r>
    <x v="366"/>
    <x v="2"/>
    <x v="8"/>
    <n v="53.9"/>
    <n v="431.2"/>
    <x v="15"/>
    <d v="2025-01-17T00:00:00"/>
    <x v="0"/>
    <x v="0"/>
    <x v="0"/>
    <x v="0"/>
    <x v="8"/>
    <x v="3"/>
    <x v="2"/>
    <x v="0"/>
  </r>
  <r>
    <x v="367"/>
    <x v="3"/>
    <x v="11"/>
    <n v="48.4"/>
    <n v="435.59999999999997"/>
    <x v="15"/>
    <d v="2025-01-17T00:00:00"/>
    <x v="2"/>
    <x v="1"/>
    <x v="0"/>
    <x v="0"/>
    <x v="9"/>
    <x v="3"/>
    <x v="2"/>
    <x v="2"/>
  </r>
  <r>
    <x v="368"/>
    <x v="17"/>
    <x v="1"/>
    <n v="49.9"/>
    <n v="99.8"/>
    <x v="15"/>
    <d v="2025-01-21T00:00:00"/>
    <x v="1"/>
    <x v="4"/>
    <x v="4"/>
    <x v="0"/>
    <x v="10"/>
    <x v="0"/>
    <x v="2"/>
    <x v="1"/>
  </r>
  <r>
    <x v="369"/>
    <x v="1"/>
    <x v="2"/>
    <n v="51.7"/>
    <n v="155.10000000000002"/>
    <x v="15"/>
    <d v="2025-01-17T00:00:00"/>
    <x v="2"/>
    <x v="0"/>
    <x v="2"/>
    <x v="0"/>
    <x v="11"/>
    <x v="3"/>
    <x v="2"/>
    <x v="2"/>
  </r>
  <r>
    <x v="370"/>
    <x v="8"/>
    <x v="2"/>
    <n v="41.8"/>
    <n v="125.39999999999999"/>
    <x v="15"/>
    <d v="2025-01-18T00:00:00"/>
    <x v="2"/>
    <x v="2"/>
    <x v="0"/>
    <x v="0"/>
    <x v="18"/>
    <x v="1"/>
    <x v="2"/>
    <x v="2"/>
  </r>
  <r>
    <x v="371"/>
    <x v="4"/>
    <x v="12"/>
    <n v="36.200000000000003"/>
    <n v="144.80000000000001"/>
    <x v="16"/>
    <d v="2025-01-18T00:00:00"/>
    <x v="1"/>
    <x v="2"/>
    <x v="2"/>
    <x v="0"/>
    <x v="21"/>
    <x v="3"/>
    <x v="2"/>
    <x v="1"/>
  </r>
  <r>
    <x v="372"/>
    <x v="2"/>
    <x v="0"/>
    <n v="150.9"/>
    <n v="150.9"/>
    <x v="16"/>
    <d v="2025-01-27T00:00:00"/>
    <x v="1"/>
    <x v="0"/>
    <x v="0"/>
    <x v="0"/>
    <x v="1"/>
    <x v="14"/>
    <x v="2"/>
    <x v="1"/>
  </r>
  <r>
    <x v="373"/>
    <x v="18"/>
    <x v="12"/>
    <n v="77.599999999999994"/>
    <n v="310.39999999999998"/>
    <x v="16"/>
    <d v="2025-01-18T00:00:00"/>
    <x v="0"/>
    <x v="2"/>
    <x v="0"/>
    <x v="0"/>
    <x v="3"/>
    <x v="3"/>
    <x v="2"/>
    <x v="0"/>
  </r>
  <r>
    <x v="374"/>
    <x v="13"/>
    <x v="9"/>
    <n v="65.5"/>
    <n v="327.5"/>
    <x v="16"/>
    <d v="2025-01-17T00:00:00"/>
    <x v="1"/>
    <x v="1"/>
    <x v="0"/>
    <x v="0"/>
    <x v="3"/>
    <x v="7"/>
    <x v="2"/>
    <x v="1"/>
  </r>
  <r>
    <x v="375"/>
    <x v="6"/>
    <x v="2"/>
    <n v="90.1"/>
    <n v="270.29999999999995"/>
    <x v="16"/>
    <d v="2025-01-19T00:00:00"/>
    <x v="2"/>
    <x v="0"/>
    <x v="0"/>
    <x v="0"/>
    <x v="3"/>
    <x v="1"/>
    <x v="2"/>
    <x v="2"/>
  </r>
  <r>
    <x v="376"/>
    <x v="1"/>
    <x v="1"/>
    <n v="108.3"/>
    <n v="216.6"/>
    <x v="16"/>
    <d v="2025-01-20T00:00:00"/>
    <x v="3"/>
    <x v="4"/>
    <x v="0"/>
    <x v="0"/>
    <x v="3"/>
    <x v="2"/>
    <x v="2"/>
    <x v="3"/>
  </r>
  <r>
    <x v="377"/>
    <x v="5"/>
    <x v="2"/>
    <n v="59.9"/>
    <n v="179.7"/>
    <x v="16"/>
    <d v="2025-01-21T00:00:00"/>
    <x v="2"/>
    <x v="0"/>
    <x v="0"/>
    <x v="0"/>
    <x v="3"/>
    <x v="5"/>
    <x v="2"/>
    <x v="2"/>
  </r>
  <r>
    <x v="378"/>
    <x v="2"/>
    <x v="14"/>
    <n v="139"/>
    <n v="2363"/>
    <x v="16"/>
    <d v="2025-01-19T00:00:00"/>
    <x v="2"/>
    <x v="1"/>
    <x v="4"/>
    <x v="0"/>
    <x v="3"/>
    <x v="1"/>
    <x v="2"/>
    <x v="2"/>
  </r>
  <r>
    <x v="379"/>
    <x v="6"/>
    <x v="2"/>
    <n v="87.3"/>
    <n v="261.89999999999998"/>
    <x v="16"/>
    <d v="2025-01-18T00:00:00"/>
    <x v="2"/>
    <x v="0"/>
    <x v="0"/>
    <x v="0"/>
    <x v="3"/>
    <x v="3"/>
    <x v="2"/>
    <x v="2"/>
  </r>
  <r>
    <x v="380"/>
    <x v="11"/>
    <x v="12"/>
    <n v="42.3"/>
    <n v="169.2"/>
    <x v="16"/>
    <d v="2025-01-17T00:00:00"/>
    <x v="1"/>
    <x v="0"/>
    <x v="0"/>
    <x v="0"/>
    <x v="3"/>
    <x v="7"/>
    <x v="2"/>
    <x v="1"/>
  </r>
  <r>
    <x v="381"/>
    <x v="14"/>
    <x v="8"/>
    <n v="103.6"/>
    <n v="828.8"/>
    <x v="16"/>
    <d v="2025-01-18T00:00:00"/>
    <x v="3"/>
    <x v="0"/>
    <x v="1"/>
    <x v="0"/>
    <x v="3"/>
    <x v="3"/>
    <x v="2"/>
    <x v="3"/>
  </r>
  <r>
    <x v="382"/>
    <x v="6"/>
    <x v="1"/>
    <n v="90.9"/>
    <n v="181.8"/>
    <x v="16"/>
    <d v="2025-01-18T00:00:00"/>
    <x v="1"/>
    <x v="1"/>
    <x v="0"/>
    <x v="0"/>
    <x v="6"/>
    <x v="3"/>
    <x v="2"/>
    <x v="1"/>
  </r>
  <r>
    <x v="383"/>
    <x v="9"/>
    <x v="27"/>
    <n v="100.9"/>
    <n v="1614.4"/>
    <x v="16"/>
    <d v="2025-01-18T00:00:00"/>
    <x v="2"/>
    <x v="1"/>
    <x v="0"/>
    <x v="0"/>
    <x v="6"/>
    <x v="3"/>
    <x v="2"/>
    <x v="2"/>
  </r>
  <r>
    <x v="384"/>
    <x v="4"/>
    <x v="9"/>
    <n v="36"/>
    <n v="180"/>
    <x v="16"/>
    <d v="2025-01-19T00:00:00"/>
    <x v="2"/>
    <x v="1"/>
    <x v="0"/>
    <x v="0"/>
    <x v="7"/>
    <x v="1"/>
    <x v="2"/>
    <x v="2"/>
  </r>
  <r>
    <x v="385"/>
    <x v="6"/>
    <x v="13"/>
    <n v="83.3"/>
    <n v="499.79999999999995"/>
    <x v="16"/>
    <d v="2025-01-20T00:00:00"/>
    <x v="0"/>
    <x v="2"/>
    <x v="0"/>
    <x v="0"/>
    <x v="7"/>
    <x v="2"/>
    <x v="2"/>
    <x v="0"/>
  </r>
  <r>
    <x v="386"/>
    <x v="2"/>
    <x v="14"/>
    <n v="60.3"/>
    <n v="1025.0999999999999"/>
    <x v="16"/>
    <d v="2025-01-18T00:00:00"/>
    <x v="1"/>
    <x v="2"/>
    <x v="1"/>
    <x v="0"/>
    <x v="7"/>
    <x v="3"/>
    <x v="2"/>
    <x v="1"/>
  </r>
  <r>
    <x v="387"/>
    <x v="2"/>
    <x v="13"/>
    <n v="120.3"/>
    <n v="721.8"/>
    <x v="16"/>
    <d v="2025-01-18T00:00:00"/>
    <x v="1"/>
    <x v="2"/>
    <x v="0"/>
    <x v="0"/>
    <x v="8"/>
    <x v="3"/>
    <x v="2"/>
    <x v="1"/>
  </r>
  <r>
    <x v="388"/>
    <x v="4"/>
    <x v="7"/>
    <n v="34"/>
    <n v="340"/>
    <x v="16"/>
    <d v="2025-01-21T00:00:00"/>
    <x v="2"/>
    <x v="2"/>
    <x v="0"/>
    <x v="0"/>
    <x v="8"/>
    <x v="5"/>
    <x v="2"/>
    <x v="2"/>
  </r>
  <r>
    <x v="389"/>
    <x v="10"/>
    <x v="9"/>
    <n v="42.6"/>
    <n v="213"/>
    <x v="16"/>
    <d v="2025-01-20T00:00:00"/>
    <x v="1"/>
    <x v="1"/>
    <x v="0"/>
    <x v="0"/>
    <x v="8"/>
    <x v="2"/>
    <x v="2"/>
    <x v="1"/>
  </r>
  <r>
    <x v="390"/>
    <x v="5"/>
    <x v="28"/>
    <n v="47.4"/>
    <n v="948"/>
    <x v="16"/>
    <d v="2025-01-17T00:00:00"/>
    <x v="2"/>
    <x v="2"/>
    <x v="1"/>
    <x v="0"/>
    <x v="17"/>
    <x v="7"/>
    <x v="2"/>
    <x v="2"/>
  </r>
  <r>
    <x v="391"/>
    <x v="2"/>
    <x v="0"/>
    <n v="74"/>
    <n v="74"/>
    <x v="17"/>
    <d v="2025-01-19T00:00:00"/>
    <x v="1"/>
    <x v="1"/>
    <x v="0"/>
    <x v="0"/>
    <x v="11"/>
    <x v="3"/>
    <x v="2"/>
    <x v="1"/>
  </r>
  <r>
    <x v="392"/>
    <x v="2"/>
    <x v="9"/>
    <n v="60.4"/>
    <n v="302"/>
    <x v="17"/>
    <d v="2025-01-21T00:00:00"/>
    <x v="2"/>
    <x v="1"/>
    <x v="4"/>
    <x v="0"/>
    <x v="18"/>
    <x v="2"/>
    <x v="2"/>
    <x v="2"/>
  </r>
  <r>
    <x v="393"/>
    <x v="12"/>
    <x v="1"/>
    <n v="69.3"/>
    <n v="138.6"/>
    <x v="17"/>
    <d v="2025-01-21T00:00:00"/>
    <x v="1"/>
    <x v="1"/>
    <x v="1"/>
    <x v="0"/>
    <x v="13"/>
    <x v="2"/>
    <x v="2"/>
    <x v="1"/>
  </r>
  <r>
    <x v="394"/>
    <x v="5"/>
    <x v="9"/>
    <n v="81"/>
    <n v="405"/>
    <x v="17"/>
    <d v="2025-01-24T00:00:00"/>
    <x v="1"/>
    <x v="3"/>
    <x v="0"/>
    <x v="0"/>
    <x v="21"/>
    <x v="4"/>
    <x v="2"/>
    <x v="1"/>
  </r>
  <r>
    <x v="395"/>
    <x v="15"/>
    <x v="2"/>
    <n v="41.5"/>
    <n v="124.5"/>
    <x v="17"/>
    <d v="2025-01-20T00:00:00"/>
    <x v="3"/>
    <x v="1"/>
    <x v="0"/>
    <x v="0"/>
    <x v="21"/>
    <x v="1"/>
    <x v="2"/>
    <x v="3"/>
  </r>
  <r>
    <x v="396"/>
    <x v="18"/>
    <x v="1"/>
    <n v="69.7"/>
    <n v="139.4"/>
    <x v="17"/>
    <d v="2025-01-23T00:00:00"/>
    <x v="1"/>
    <x v="1"/>
    <x v="0"/>
    <x v="0"/>
    <x v="21"/>
    <x v="0"/>
    <x v="2"/>
    <x v="1"/>
  </r>
  <r>
    <x v="397"/>
    <x v="2"/>
    <x v="9"/>
    <n v="83.6"/>
    <n v="418"/>
    <x v="17"/>
    <d v="2025-01-18T00:00:00"/>
    <x v="2"/>
    <x v="4"/>
    <x v="0"/>
    <x v="0"/>
    <x v="1"/>
    <x v="7"/>
    <x v="2"/>
    <x v="2"/>
  </r>
  <r>
    <x v="398"/>
    <x v="8"/>
    <x v="3"/>
    <n v="21.5"/>
    <n v="150.5"/>
    <x v="17"/>
    <d v="2025-01-20T00:00:00"/>
    <x v="1"/>
    <x v="1"/>
    <x v="4"/>
    <x v="0"/>
    <x v="34"/>
    <x v="1"/>
    <x v="2"/>
    <x v="1"/>
  </r>
  <r>
    <x v="399"/>
    <x v="8"/>
    <x v="8"/>
    <n v="28.6"/>
    <n v="228.8"/>
    <x v="17"/>
    <d v="2025-01-19T00:00:00"/>
    <x v="1"/>
    <x v="0"/>
    <x v="0"/>
    <x v="0"/>
    <x v="3"/>
    <x v="3"/>
    <x v="2"/>
    <x v="1"/>
  </r>
  <r>
    <x v="400"/>
    <x v="8"/>
    <x v="13"/>
    <n v="18.8"/>
    <n v="112.80000000000001"/>
    <x v="17"/>
    <d v="2025-01-21T00:00:00"/>
    <x v="1"/>
    <x v="3"/>
    <x v="2"/>
    <x v="0"/>
    <x v="3"/>
    <x v="2"/>
    <x v="2"/>
    <x v="1"/>
  </r>
  <r>
    <x v="401"/>
    <x v="10"/>
    <x v="12"/>
    <n v="35.1"/>
    <n v="140.4"/>
    <x v="17"/>
    <d v="2025-01-18T00:00:00"/>
    <x v="2"/>
    <x v="1"/>
    <x v="1"/>
    <x v="0"/>
    <x v="3"/>
    <x v="7"/>
    <x v="2"/>
    <x v="2"/>
  </r>
  <r>
    <x v="402"/>
    <x v="0"/>
    <x v="1"/>
    <n v="12.7"/>
    <n v="25.4"/>
    <x v="17"/>
    <d v="2025-01-20T00:00:00"/>
    <x v="2"/>
    <x v="1"/>
    <x v="2"/>
    <x v="0"/>
    <x v="3"/>
    <x v="1"/>
    <x v="2"/>
    <x v="2"/>
  </r>
  <r>
    <x v="403"/>
    <x v="8"/>
    <x v="9"/>
    <n v="27.4"/>
    <n v="137"/>
    <x v="17"/>
    <d v="2025-01-20T00:00:00"/>
    <x v="3"/>
    <x v="0"/>
    <x v="0"/>
    <x v="0"/>
    <x v="3"/>
    <x v="1"/>
    <x v="2"/>
    <x v="3"/>
  </r>
  <r>
    <x v="404"/>
    <x v="10"/>
    <x v="1"/>
    <n v="61.3"/>
    <n v="122.6"/>
    <x v="17"/>
    <d v="2025-01-19T00:00:00"/>
    <x v="2"/>
    <x v="1"/>
    <x v="0"/>
    <x v="0"/>
    <x v="6"/>
    <x v="3"/>
    <x v="2"/>
    <x v="2"/>
  </r>
  <r>
    <x v="405"/>
    <x v="8"/>
    <x v="1"/>
    <n v="64.7"/>
    <n v="129.4"/>
    <x v="17"/>
    <d v="2025-01-20T00:00:00"/>
    <x v="2"/>
    <x v="3"/>
    <x v="2"/>
    <x v="0"/>
    <x v="6"/>
    <x v="1"/>
    <x v="2"/>
    <x v="2"/>
  </r>
  <r>
    <x v="406"/>
    <x v="7"/>
    <x v="12"/>
    <n v="91.4"/>
    <n v="365.6"/>
    <x v="17"/>
    <d v="2025-01-20T00:00:00"/>
    <x v="2"/>
    <x v="0"/>
    <x v="0"/>
    <x v="0"/>
    <x v="8"/>
    <x v="1"/>
    <x v="2"/>
    <x v="2"/>
  </r>
  <r>
    <x v="407"/>
    <x v="0"/>
    <x v="1"/>
    <n v="33.1"/>
    <n v="66.2"/>
    <x v="18"/>
    <d v="2025-01-20T00:00:00"/>
    <x v="1"/>
    <x v="0"/>
    <x v="2"/>
    <x v="0"/>
    <x v="8"/>
    <x v="3"/>
    <x v="3"/>
    <x v="1"/>
  </r>
  <r>
    <x v="408"/>
    <x v="3"/>
    <x v="1"/>
    <n v="105.6"/>
    <n v="211.2"/>
    <x v="18"/>
    <d v="2025-01-20T00:00:00"/>
    <x v="1"/>
    <x v="2"/>
    <x v="1"/>
    <x v="0"/>
    <x v="8"/>
    <x v="3"/>
    <x v="3"/>
    <x v="1"/>
  </r>
  <r>
    <x v="409"/>
    <x v="10"/>
    <x v="2"/>
    <n v="46.4"/>
    <n v="139.19999999999999"/>
    <x v="18"/>
    <d v="2025-01-20T00:00:00"/>
    <x v="1"/>
    <x v="2"/>
    <x v="0"/>
    <x v="0"/>
    <x v="9"/>
    <x v="3"/>
    <x v="3"/>
    <x v="1"/>
  </r>
  <r>
    <x v="410"/>
    <x v="9"/>
    <x v="21"/>
    <n v="35.299999999999997"/>
    <n v="494.19999999999993"/>
    <x v="18"/>
    <d v="2025-01-22T00:00:00"/>
    <x v="2"/>
    <x v="4"/>
    <x v="1"/>
    <x v="0"/>
    <x v="11"/>
    <x v="2"/>
    <x v="3"/>
    <x v="2"/>
  </r>
  <r>
    <x v="411"/>
    <x v="0"/>
    <x v="1"/>
    <n v="16.100000000000001"/>
    <n v="32.200000000000003"/>
    <x v="18"/>
    <d v="2025-01-21T00:00:00"/>
    <x v="1"/>
    <x v="3"/>
    <x v="2"/>
    <x v="0"/>
    <x v="32"/>
    <x v="1"/>
    <x v="3"/>
    <x v="1"/>
  </r>
  <r>
    <x v="412"/>
    <x v="4"/>
    <x v="1"/>
    <n v="27.9"/>
    <n v="55.8"/>
    <x v="18"/>
    <d v="2025-01-22T00:00:00"/>
    <x v="1"/>
    <x v="0"/>
    <x v="0"/>
    <x v="0"/>
    <x v="13"/>
    <x v="2"/>
    <x v="3"/>
    <x v="1"/>
  </r>
  <r>
    <x v="413"/>
    <x v="8"/>
    <x v="0"/>
    <n v="47.1"/>
    <n v="47.1"/>
    <x v="18"/>
    <d v="2025-01-27T00:00:00"/>
    <x v="2"/>
    <x v="1"/>
    <x v="0"/>
    <x v="0"/>
    <x v="2"/>
    <x v="9"/>
    <x v="3"/>
    <x v="2"/>
  </r>
  <r>
    <x v="414"/>
    <x v="6"/>
    <x v="1"/>
    <n v="85"/>
    <n v="170"/>
    <x v="18"/>
    <d v="2025-01-22T00:00:00"/>
    <x v="0"/>
    <x v="2"/>
    <x v="2"/>
    <x v="0"/>
    <x v="22"/>
    <x v="2"/>
    <x v="3"/>
    <x v="0"/>
  </r>
  <r>
    <x v="415"/>
    <x v="18"/>
    <x v="1"/>
    <n v="89"/>
    <n v="178"/>
    <x v="18"/>
    <d v="2025-01-21T00:00:00"/>
    <x v="2"/>
    <x v="0"/>
    <x v="0"/>
    <x v="0"/>
    <x v="3"/>
    <x v="1"/>
    <x v="3"/>
    <x v="2"/>
  </r>
  <r>
    <x v="416"/>
    <x v="16"/>
    <x v="2"/>
    <n v="36.6"/>
    <n v="109.80000000000001"/>
    <x v="18"/>
    <d v="2025-01-20T00:00:00"/>
    <x v="3"/>
    <x v="3"/>
    <x v="2"/>
    <x v="0"/>
    <x v="3"/>
    <x v="3"/>
    <x v="3"/>
    <x v="3"/>
  </r>
  <r>
    <x v="417"/>
    <x v="6"/>
    <x v="3"/>
    <n v="43.5"/>
    <n v="304.5"/>
    <x v="18"/>
    <d v="2025-01-20T00:00:00"/>
    <x v="1"/>
    <x v="1"/>
    <x v="2"/>
    <x v="0"/>
    <x v="3"/>
    <x v="3"/>
    <x v="3"/>
    <x v="1"/>
  </r>
  <r>
    <x v="418"/>
    <x v="9"/>
    <x v="10"/>
    <n v="30.5"/>
    <n v="579.5"/>
    <x v="18"/>
    <d v="2025-01-19T00:00:00"/>
    <x v="2"/>
    <x v="3"/>
    <x v="0"/>
    <x v="0"/>
    <x v="3"/>
    <x v="7"/>
    <x v="3"/>
    <x v="2"/>
  </r>
  <r>
    <x v="419"/>
    <x v="1"/>
    <x v="1"/>
    <n v="107.7"/>
    <n v="215.4"/>
    <x v="18"/>
    <d v="2025-01-23T00:00:00"/>
    <x v="1"/>
    <x v="3"/>
    <x v="4"/>
    <x v="0"/>
    <x v="3"/>
    <x v="5"/>
    <x v="3"/>
    <x v="1"/>
  </r>
  <r>
    <x v="420"/>
    <x v="17"/>
    <x v="18"/>
    <n v="57.1"/>
    <n v="1484.6000000000001"/>
    <x v="18"/>
    <d v="2025-01-20T00:00:00"/>
    <x v="1"/>
    <x v="1"/>
    <x v="0"/>
    <x v="0"/>
    <x v="3"/>
    <x v="3"/>
    <x v="3"/>
    <x v="1"/>
  </r>
  <r>
    <x v="421"/>
    <x v="2"/>
    <x v="7"/>
    <n v="111.7"/>
    <n v="1117"/>
    <x v="18"/>
    <d v="2025-01-20T00:00:00"/>
    <x v="2"/>
    <x v="4"/>
    <x v="2"/>
    <x v="0"/>
    <x v="3"/>
    <x v="3"/>
    <x v="3"/>
    <x v="2"/>
  </r>
  <r>
    <x v="422"/>
    <x v="18"/>
    <x v="3"/>
    <n v="44.3"/>
    <n v="310.09999999999997"/>
    <x v="18"/>
    <d v="2025-01-22T00:00:00"/>
    <x v="1"/>
    <x v="3"/>
    <x v="2"/>
    <x v="0"/>
    <x v="3"/>
    <x v="2"/>
    <x v="3"/>
    <x v="1"/>
  </r>
  <r>
    <x v="423"/>
    <x v="2"/>
    <x v="8"/>
    <n v="95.8"/>
    <n v="766.4"/>
    <x v="18"/>
    <d v="2025-01-25T00:00:00"/>
    <x v="3"/>
    <x v="0"/>
    <x v="0"/>
    <x v="0"/>
    <x v="3"/>
    <x v="4"/>
    <x v="3"/>
    <x v="3"/>
  </r>
  <r>
    <x v="424"/>
    <x v="10"/>
    <x v="3"/>
    <n v="22.6"/>
    <n v="158.20000000000002"/>
    <x v="18"/>
    <d v="2025-01-22T00:00:00"/>
    <x v="2"/>
    <x v="3"/>
    <x v="1"/>
    <x v="0"/>
    <x v="3"/>
    <x v="2"/>
    <x v="3"/>
    <x v="2"/>
  </r>
  <r>
    <x v="425"/>
    <x v="8"/>
    <x v="8"/>
    <n v="25.6"/>
    <n v="204.8"/>
    <x v="18"/>
    <d v="2025-01-21T00:00:00"/>
    <x v="2"/>
    <x v="4"/>
    <x v="0"/>
    <x v="0"/>
    <x v="3"/>
    <x v="1"/>
    <x v="3"/>
    <x v="2"/>
  </r>
  <r>
    <x v="426"/>
    <x v="6"/>
    <x v="27"/>
    <n v="54.3"/>
    <n v="868.8"/>
    <x v="18"/>
    <d v="2025-01-22T00:00:00"/>
    <x v="2"/>
    <x v="4"/>
    <x v="0"/>
    <x v="0"/>
    <x v="3"/>
    <x v="2"/>
    <x v="3"/>
    <x v="2"/>
  </r>
  <r>
    <x v="427"/>
    <x v="18"/>
    <x v="15"/>
    <n v="51.3"/>
    <n v="666.9"/>
    <x v="18"/>
    <d v="2025-01-21T00:00:00"/>
    <x v="1"/>
    <x v="0"/>
    <x v="2"/>
    <x v="0"/>
    <x v="3"/>
    <x v="1"/>
    <x v="3"/>
    <x v="1"/>
  </r>
  <r>
    <x v="428"/>
    <x v="0"/>
    <x v="8"/>
    <n v="25.6"/>
    <n v="204.8"/>
    <x v="18"/>
    <d v="2025-01-20T00:00:00"/>
    <x v="2"/>
    <x v="1"/>
    <x v="1"/>
    <x v="0"/>
    <x v="3"/>
    <x v="3"/>
    <x v="3"/>
    <x v="2"/>
  </r>
  <r>
    <x v="429"/>
    <x v="0"/>
    <x v="1"/>
    <n v="15.6"/>
    <n v="31.2"/>
    <x v="18"/>
    <d v="2025-01-20T00:00:00"/>
    <x v="2"/>
    <x v="2"/>
    <x v="2"/>
    <x v="0"/>
    <x v="3"/>
    <x v="3"/>
    <x v="3"/>
    <x v="2"/>
  </r>
  <r>
    <x v="430"/>
    <x v="8"/>
    <x v="2"/>
    <n v="30.3"/>
    <n v="90.9"/>
    <x v="18"/>
    <d v="2025-01-23T00:00:00"/>
    <x v="2"/>
    <x v="0"/>
    <x v="1"/>
    <x v="0"/>
    <x v="3"/>
    <x v="5"/>
    <x v="3"/>
    <x v="2"/>
  </r>
  <r>
    <x v="431"/>
    <x v="12"/>
    <x v="1"/>
    <n v="30.3"/>
    <n v="60.6"/>
    <x v="18"/>
    <d v="2025-01-24T00:00:00"/>
    <x v="2"/>
    <x v="0"/>
    <x v="2"/>
    <x v="0"/>
    <x v="37"/>
    <x v="0"/>
    <x v="3"/>
    <x v="2"/>
  </r>
  <r>
    <x v="432"/>
    <x v="10"/>
    <x v="2"/>
    <n v="53"/>
    <n v="159"/>
    <x v="18"/>
    <d v="2025-01-26T00:00:00"/>
    <x v="2"/>
    <x v="2"/>
    <x v="0"/>
    <x v="0"/>
    <x v="24"/>
    <x v="6"/>
    <x v="3"/>
    <x v="2"/>
  </r>
  <r>
    <x v="433"/>
    <x v="5"/>
    <x v="16"/>
    <n v="59.9"/>
    <n v="1078.2"/>
    <x v="18"/>
    <d v="2025-01-22T00:00:00"/>
    <x v="1"/>
    <x v="2"/>
    <x v="4"/>
    <x v="0"/>
    <x v="25"/>
    <x v="2"/>
    <x v="3"/>
    <x v="1"/>
  </r>
  <r>
    <x v="434"/>
    <x v="9"/>
    <x v="1"/>
    <n v="45.7"/>
    <n v="91.4"/>
    <x v="18"/>
    <d v="2025-01-20T00:00:00"/>
    <x v="2"/>
    <x v="1"/>
    <x v="2"/>
    <x v="0"/>
    <x v="6"/>
    <x v="3"/>
    <x v="3"/>
    <x v="2"/>
  </r>
  <r>
    <x v="435"/>
    <x v="8"/>
    <x v="12"/>
    <n v="46.1"/>
    <n v="184.4"/>
    <x v="18"/>
    <d v="2025-01-20T00:00:00"/>
    <x v="1"/>
    <x v="0"/>
    <x v="0"/>
    <x v="0"/>
    <x v="6"/>
    <x v="3"/>
    <x v="3"/>
    <x v="1"/>
  </r>
  <r>
    <x v="436"/>
    <x v="8"/>
    <x v="2"/>
    <n v="17.5"/>
    <n v="52.5"/>
    <x v="18"/>
    <d v="2025-01-20T00:00:00"/>
    <x v="2"/>
    <x v="0"/>
    <x v="2"/>
    <x v="0"/>
    <x v="8"/>
    <x v="3"/>
    <x v="3"/>
    <x v="2"/>
  </r>
  <r>
    <x v="437"/>
    <x v="10"/>
    <x v="2"/>
    <n v="36.5"/>
    <n v="109.5"/>
    <x v="18"/>
    <d v="2025-01-30T00:00:00"/>
    <x v="1"/>
    <x v="2"/>
    <x v="0"/>
    <x v="0"/>
    <x v="8"/>
    <x v="11"/>
    <x v="3"/>
    <x v="1"/>
  </r>
  <r>
    <x v="438"/>
    <x v="8"/>
    <x v="1"/>
    <n v="47.5"/>
    <n v="95"/>
    <x v="19"/>
    <d v="2025-01-22T00:00:00"/>
    <x v="2"/>
    <x v="1"/>
    <x v="0"/>
    <x v="0"/>
    <x v="8"/>
    <x v="1"/>
    <x v="3"/>
    <x v="2"/>
  </r>
  <r>
    <x v="439"/>
    <x v="6"/>
    <x v="9"/>
    <n v="45.6"/>
    <n v="228"/>
    <x v="19"/>
    <d v="2025-01-22T00:00:00"/>
    <x v="2"/>
    <x v="0"/>
    <x v="2"/>
    <x v="0"/>
    <x v="8"/>
    <x v="1"/>
    <x v="3"/>
    <x v="2"/>
  </r>
  <r>
    <x v="440"/>
    <x v="9"/>
    <x v="1"/>
    <n v="50.5"/>
    <n v="101"/>
    <x v="19"/>
    <d v="2025-01-22T00:00:00"/>
    <x v="1"/>
    <x v="0"/>
    <x v="1"/>
    <x v="0"/>
    <x v="17"/>
    <x v="1"/>
    <x v="3"/>
    <x v="1"/>
  </r>
  <r>
    <x v="441"/>
    <x v="2"/>
    <x v="7"/>
    <n v="99.8"/>
    <n v="998"/>
    <x v="19"/>
    <d v="2025-01-23T00:00:00"/>
    <x v="2"/>
    <x v="2"/>
    <x v="1"/>
    <x v="0"/>
    <x v="17"/>
    <x v="2"/>
    <x v="3"/>
    <x v="2"/>
  </r>
  <r>
    <x v="442"/>
    <x v="8"/>
    <x v="20"/>
    <n v="19.2"/>
    <n v="288"/>
    <x v="19"/>
    <d v="2025-01-22T00:00:00"/>
    <x v="3"/>
    <x v="4"/>
    <x v="1"/>
    <x v="0"/>
    <x v="26"/>
    <x v="1"/>
    <x v="3"/>
    <x v="3"/>
  </r>
  <r>
    <x v="443"/>
    <x v="17"/>
    <x v="2"/>
    <n v="22.6"/>
    <n v="67.800000000000011"/>
    <x v="19"/>
    <d v="2025-01-21T00:00:00"/>
    <x v="1"/>
    <x v="1"/>
    <x v="0"/>
    <x v="0"/>
    <x v="11"/>
    <x v="3"/>
    <x v="3"/>
    <x v="1"/>
  </r>
  <r>
    <x v="444"/>
    <x v="1"/>
    <x v="20"/>
    <n v="126.9"/>
    <n v="1903.5"/>
    <x v="19"/>
    <d v="2025-01-22T00:00:00"/>
    <x v="2"/>
    <x v="0"/>
    <x v="2"/>
    <x v="0"/>
    <x v="11"/>
    <x v="1"/>
    <x v="3"/>
    <x v="2"/>
  </r>
  <r>
    <x v="445"/>
    <x v="2"/>
    <x v="1"/>
    <n v="100.3"/>
    <n v="200.6"/>
    <x v="19"/>
    <d v="2025-01-21T00:00:00"/>
    <x v="2"/>
    <x v="0"/>
    <x v="1"/>
    <x v="0"/>
    <x v="11"/>
    <x v="3"/>
    <x v="3"/>
    <x v="2"/>
  </r>
  <r>
    <x v="446"/>
    <x v="4"/>
    <x v="16"/>
    <n v="24.6"/>
    <n v="442.8"/>
    <x v="19"/>
    <d v="2025-01-21T00:00:00"/>
    <x v="2"/>
    <x v="4"/>
    <x v="0"/>
    <x v="0"/>
    <x v="13"/>
    <x v="3"/>
    <x v="3"/>
    <x v="2"/>
  </r>
  <r>
    <x v="447"/>
    <x v="6"/>
    <x v="1"/>
    <n v="47.3"/>
    <n v="94.6"/>
    <x v="19"/>
    <d v="2025-01-21T00:00:00"/>
    <x v="1"/>
    <x v="1"/>
    <x v="2"/>
    <x v="0"/>
    <x v="13"/>
    <x v="3"/>
    <x v="3"/>
    <x v="1"/>
  </r>
  <r>
    <x v="448"/>
    <x v="6"/>
    <x v="3"/>
    <n v="40.799999999999997"/>
    <n v="285.59999999999997"/>
    <x v="19"/>
    <d v="2025-01-23T00:00:00"/>
    <x v="2"/>
    <x v="2"/>
    <x v="2"/>
    <x v="0"/>
    <x v="21"/>
    <x v="2"/>
    <x v="3"/>
    <x v="2"/>
  </r>
  <r>
    <x v="449"/>
    <x v="8"/>
    <x v="8"/>
    <n v="49.2"/>
    <n v="393.6"/>
    <x v="19"/>
    <d v="2025-01-22T00:00:00"/>
    <x v="2"/>
    <x v="0"/>
    <x v="0"/>
    <x v="0"/>
    <x v="1"/>
    <x v="1"/>
    <x v="3"/>
    <x v="2"/>
  </r>
  <r>
    <x v="450"/>
    <x v="8"/>
    <x v="0"/>
    <n v="28.5"/>
    <n v="28.5"/>
    <x v="19"/>
    <d v="2025-01-22T00:00:00"/>
    <x v="0"/>
    <x v="2"/>
    <x v="1"/>
    <x v="0"/>
    <x v="3"/>
    <x v="1"/>
    <x v="3"/>
    <x v="0"/>
  </r>
  <r>
    <x v="451"/>
    <x v="18"/>
    <x v="1"/>
    <n v="36.799999999999997"/>
    <n v="73.599999999999994"/>
    <x v="19"/>
    <d v="2025-01-26T00:00:00"/>
    <x v="2"/>
    <x v="0"/>
    <x v="2"/>
    <x v="0"/>
    <x v="3"/>
    <x v="4"/>
    <x v="3"/>
    <x v="2"/>
  </r>
  <r>
    <x v="452"/>
    <x v="7"/>
    <x v="2"/>
    <n v="33.5"/>
    <n v="100.5"/>
    <x v="19"/>
    <d v="2025-01-21T00:00:00"/>
    <x v="2"/>
    <x v="0"/>
    <x v="1"/>
    <x v="0"/>
    <x v="3"/>
    <x v="3"/>
    <x v="3"/>
    <x v="2"/>
  </r>
  <r>
    <x v="453"/>
    <x v="6"/>
    <x v="13"/>
    <n v="62.5"/>
    <n v="375"/>
    <x v="19"/>
    <d v="2025-01-22T00:00:00"/>
    <x v="2"/>
    <x v="0"/>
    <x v="0"/>
    <x v="0"/>
    <x v="3"/>
    <x v="1"/>
    <x v="3"/>
    <x v="2"/>
  </r>
  <r>
    <x v="454"/>
    <x v="8"/>
    <x v="29"/>
    <n v="47.9"/>
    <n v="1916"/>
    <x v="19"/>
    <d v="2025-01-21T00:00:00"/>
    <x v="2"/>
    <x v="3"/>
    <x v="0"/>
    <x v="0"/>
    <x v="3"/>
    <x v="3"/>
    <x v="3"/>
    <x v="2"/>
  </r>
  <r>
    <x v="455"/>
    <x v="6"/>
    <x v="13"/>
    <n v="92.9"/>
    <n v="557.40000000000009"/>
    <x v="19"/>
    <d v="2025-01-31T00:00:00"/>
    <x v="2"/>
    <x v="0"/>
    <x v="4"/>
    <x v="0"/>
    <x v="3"/>
    <x v="11"/>
    <x v="3"/>
    <x v="2"/>
  </r>
  <r>
    <x v="456"/>
    <x v="12"/>
    <x v="2"/>
    <n v="44.1"/>
    <n v="132.30000000000001"/>
    <x v="19"/>
    <d v="2025-01-20T00:00:00"/>
    <x v="2"/>
    <x v="1"/>
    <x v="1"/>
    <x v="0"/>
    <x v="43"/>
    <x v="7"/>
    <x v="3"/>
    <x v="2"/>
  </r>
  <r>
    <x v="457"/>
    <x v="0"/>
    <x v="0"/>
    <n v="11.4"/>
    <n v="11.4"/>
    <x v="20"/>
    <d v="2025-01-23T00:00:00"/>
    <x v="2"/>
    <x v="2"/>
    <x v="0"/>
    <x v="0"/>
    <x v="5"/>
    <x v="1"/>
    <x v="3"/>
    <x v="2"/>
  </r>
  <r>
    <x v="458"/>
    <x v="6"/>
    <x v="0"/>
    <n v="83.7"/>
    <n v="83.7"/>
    <x v="20"/>
    <d v="2025-01-23T00:00:00"/>
    <x v="2"/>
    <x v="0"/>
    <x v="2"/>
    <x v="0"/>
    <x v="6"/>
    <x v="1"/>
    <x v="3"/>
    <x v="2"/>
  </r>
  <r>
    <x v="459"/>
    <x v="10"/>
    <x v="1"/>
    <n v="23.2"/>
    <n v="46.4"/>
    <x v="20"/>
    <d v="2025-01-22T00:00:00"/>
    <x v="1"/>
    <x v="2"/>
    <x v="0"/>
    <x v="0"/>
    <x v="8"/>
    <x v="3"/>
    <x v="3"/>
    <x v="1"/>
  </r>
  <r>
    <x v="460"/>
    <x v="2"/>
    <x v="0"/>
    <n v="162.1"/>
    <n v="162.1"/>
    <x v="20"/>
    <d v="2025-01-24T00:00:00"/>
    <x v="2"/>
    <x v="0"/>
    <x v="2"/>
    <x v="0"/>
    <x v="9"/>
    <x v="2"/>
    <x v="3"/>
    <x v="2"/>
  </r>
  <r>
    <x v="461"/>
    <x v="6"/>
    <x v="12"/>
    <n v="49.2"/>
    <n v="196.8"/>
    <x v="20"/>
    <d v="2025-01-25T00:00:00"/>
    <x v="1"/>
    <x v="1"/>
    <x v="0"/>
    <x v="0"/>
    <x v="9"/>
    <x v="5"/>
    <x v="3"/>
    <x v="1"/>
  </r>
  <r>
    <x v="462"/>
    <x v="1"/>
    <x v="1"/>
    <n v="61"/>
    <n v="122"/>
    <x v="20"/>
    <d v="2025-01-22T00:00:00"/>
    <x v="1"/>
    <x v="3"/>
    <x v="0"/>
    <x v="0"/>
    <x v="10"/>
    <x v="3"/>
    <x v="3"/>
    <x v="1"/>
  </r>
  <r>
    <x v="463"/>
    <x v="2"/>
    <x v="7"/>
    <n v="53.1"/>
    <n v="531"/>
    <x v="20"/>
    <d v="2025-01-23T00:00:00"/>
    <x v="1"/>
    <x v="0"/>
    <x v="0"/>
    <x v="0"/>
    <x v="11"/>
    <x v="1"/>
    <x v="3"/>
    <x v="1"/>
  </r>
  <r>
    <x v="464"/>
    <x v="4"/>
    <x v="1"/>
    <n v="22.4"/>
    <n v="44.8"/>
    <x v="20"/>
    <d v="2025-01-23T00:00:00"/>
    <x v="0"/>
    <x v="1"/>
    <x v="2"/>
    <x v="0"/>
    <x v="13"/>
    <x v="1"/>
    <x v="3"/>
    <x v="0"/>
  </r>
  <r>
    <x v="465"/>
    <x v="1"/>
    <x v="9"/>
    <n v="75.3"/>
    <n v="376.5"/>
    <x v="20"/>
    <d v="2025-01-22T00:00:00"/>
    <x v="1"/>
    <x v="0"/>
    <x v="0"/>
    <x v="0"/>
    <x v="21"/>
    <x v="3"/>
    <x v="3"/>
    <x v="1"/>
  </r>
  <r>
    <x v="466"/>
    <x v="6"/>
    <x v="0"/>
    <n v="48.5"/>
    <n v="48.5"/>
    <x v="20"/>
    <d v="2025-01-22T00:00:00"/>
    <x v="2"/>
    <x v="0"/>
    <x v="1"/>
    <x v="0"/>
    <x v="21"/>
    <x v="3"/>
    <x v="3"/>
    <x v="2"/>
  </r>
  <r>
    <x v="467"/>
    <x v="6"/>
    <x v="0"/>
    <n v="42.6"/>
    <n v="42.6"/>
    <x v="20"/>
    <d v="2025-01-25T00:00:00"/>
    <x v="2"/>
    <x v="3"/>
    <x v="0"/>
    <x v="0"/>
    <x v="1"/>
    <x v="5"/>
    <x v="3"/>
    <x v="2"/>
  </r>
  <r>
    <x v="468"/>
    <x v="5"/>
    <x v="9"/>
    <n v="49"/>
    <n v="245"/>
    <x v="20"/>
    <d v="2025-01-22T00:00:00"/>
    <x v="1"/>
    <x v="0"/>
    <x v="0"/>
    <x v="0"/>
    <x v="22"/>
    <x v="3"/>
    <x v="3"/>
    <x v="1"/>
  </r>
  <r>
    <x v="469"/>
    <x v="8"/>
    <x v="2"/>
    <n v="31.3"/>
    <n v="93.9"/>
    <x v="20"/>
    <d v="2025-01-22T00:00:00"/>
    <x v="1"/>
    <x v="2"/>
    <x v="1"/>
    <x v="0"/>
    <x v="3"/>
    <x v="3"/>
    <x v="3"/>
    <x v="1"/>
  </r>
  <r>
    <x v="470"/>
    <x v="2"/>
    <x v="1"/>
    <n v="85.4"/>
    <n v="170.8"/>
    <x v="20"/>
    <d v="2025-01-22T00:00:00"/>
    <x v="2"/>
    <x v="2"/>
    <x v="0"/>
    <x v="0"/>
    <x v="3"/>
    <x v="3"/>
    <x v="3"/>
    <x v="2"/>
  </r>
  <r>
    <x v="471"/>
    <x v="8"/>
    <x v="12"/>
    <n v="40"/>
    <n v="160"/>
    <x v="20"/>
    <d v="2025-01-22T00:00:00"/>
    <x v="3"/>
    <x v="0"/>
    <x v="2"/>
    <x v="0"/>
    <x v="3"/>
    <x v="3"/>
    <x v="3"/>
    <x v="3"/>
  </r>
  <r>
    <x v="472"/>
    <x v="5"/>
    <x v="1"/>
    <n v="38.5"/>
    <n v="77"/>
    <x v="20"/>
    <d v="2025-01-24T00:00:00"/>
    <x v="1"/>
    <x v="1"/>
    <x v="2"/>
    <x v="0"/>
    <x v="3"/>
    <x v="2"/>
    <x v="3"/>
    <x v="1"/>
  </r>
  <r>
    <x v="473"/>
    <x v="2"/>
    <x v="1"/>
    <n v="57.8"/>
    <n v="115.6"/>
    <x v="20"/>
    <d v="2025-01-22T00:00:00"/>
    <x v="0"/>
    <x v="0"/>
    <x v="0"/>
    <x v="0"/>
    <x v="3"/>
    <x v="3"/>
    <x v="3"/>
    <x v="0"/>
  </r>
  <r>
    <x v="474"/>
    <x v="8"/>
    <x v="0"/>
    <n v="19.2"/>
    <n v="19.2"/>
    <x v="20"/>
    <d v="2025-01-22T00:00:00"/>
    <x v="2"/>
    <x v="0"/>
    <x v="4"/>
    <x v="0"/>
    <x v="3"/>
    <x v="3"/>
    <x v="3"/>
    <x v="2"/>
  </r>
  <r>
    <x v="475"/>
    <x v="6"/>
    <x v="13"/>
    <n v="114.8"/>
    <n v="688.8"/>
    <x v="20"/>
    <d v="2025-01-24T00:00:00"/>
    <x v="1"/>
    <x v="1"/>
    <x v="1"/>
    <x v="0"/>
    <x v="3"/>
    <x v="2"/>
    <x v="3"/>
    <x v="1"/>
  </r>
  <r>
    <x v="476"/>
    <x v="10"/>
    <x v="3"/>
    <n v="48.4"/>
    <n v="338.8"/>
    <x v="20"/>
    <d v="2025-01-24T00:00:00"/>
    <x v="2"/>
    <x v="3"/>
    <x v="1"/>
    <x v="0"/>
    <x v="3"/>
    <x v="2"/>
    <x v="3"/>
    <x v="2"/>
  </r>
  <r>
    <x v="477"/>
    <x v="9"/>
    <x v="9"/>
    <n v="73.2"/>
    <n v="366"/>
    <x v="20"/>
    <d v="2025-01-22T00:00:00"/>
    <x v="2"/>
    <x v="1"/>
    <x v="4"/>
    <x v="0"/>
    <x v="3"/>
    <x v="3"/>
    <x v="3"/>
    <x v="2"/>
  </r>
  <r>
    <x v="478"/>
    <x v="15"/>
    <x v="1"/>
    <n v="48.6"/>
    <n v="97.2"/>
    <x v="20"/>
    <d v="2025-01-25T00:00:00"/>
    <x v="2"/>
    <x v="3"/>
    <x v="0"/>
    <x v="0"/>
    <x v="3"/>
    <x v="5"/>
    <x v="3"/>
    <x v="2"/>
  </r>
  <r>
    <x v="479"/>
    <x v="0"/>
    <x v="13"/>
    <n v="48.7"/>
    <n v="292.20000000000005"/>
    <x v="20"/>
    <d v="2025-01-22T00:00:00"/>
    <x v="1"/>
    <x v="0"/>
    <x v="0"/>
    <x v="0"/>
    <x v="3"/>
    <x v="3"/>
    <x v="3"/>
    <x v="1"/>
  </r>
  <r>
    <x v="480"/>
    <x v="4"/>
    <x v="1"/>
    <n v="32.200000000000003"/>
    <n v="64.400000000000006"/>
    <x v="20"/>
    <d v="2025-01-24T00:00:00"/>
    <x v="1"/>
    <x v="2"/>
    <x v="2"/>
    <x v="0"/>
    <x v="3"/>
    <x v="2"/>
    <x v="3"/>
    <x v="1"/>
  </r>
  <r>
    <x v="481"/>
    <x v="15"/>
    <x v="8"/>
    <n v="25.8"/>
    <n v="206.4"/>
    <x v="20"/>
    <d v="2025-01-22T00:00:00"/>
    <x v="1"/>
    <x v="0"/>
    <x v="0"/>
    <x v="0"/>
    <x v="37"/>
    <x v="3"/>
    <x v="3"/>
    <x v="1"/>
  </r>
  <r>
    <x v="482"/>
    <x v="6"/>
    <x v="1"/>
    <n v="94.8"/>
    <n v="189.6"/>
    <x v="21"/>
    <d v="2025-01-25T00:00:00"/>
    <x v="2"/>
    <x v="1"/>
    <x v="1"/>
    <x v="0"/>
    <x v="25"/>
    <x v="2"/>
    <x v="3"/>
    <x v="2"/>
  </r>
  <r>
    <x v="483"/>
    <x v="15"/>
    <x v="30"/>
    <n v="56.8"/>
    <n v="1420"/>
    <x v="21"/>
    <d v="2025-01-25T00:00:00"/>
    <x v="1"/>
    <x v="0"/>
    <x v="0"/>
    <x v="0"/>
    <x v="25"/>
    <x v="2"/>
    <x v="3"/>
    <x v="1"/>
  </r>
  <r>
    <x v="484"/>
    <x v="8"/>
    <x v="27"/>
    <n v="18.3"/>
    <n v="292.8"/>
    <x v="21"/>
    <d v="2025-01-29T00:00:00"/>
    <x v="2"/>
    <x v="2"/>
    <x v="2"/>
    <x v="0"/>
    <x v="23"/>
    <x v="6"/>
    <x v="3"/>
    <x v="2"/>
  </r>
  <r>
    <x v="485"/>
    <x v="0"/>
    <x v="2"/>
    <n v="16.8"/>
    <n v="50.400000000000006"/>
    <x v="21"/>
    <d v="2025-01-27T00:00:00"/>
    <x v="2"/>
    <x v="2"/>
    <x v="2"/>
    <x v="0"/>
    <x v="8"/>
    <x v="0"/>
    <x v="3"/>
    <x v="2"/>
  </r>
  <r>
    <x v="486"/>
    <x v="5"/>
    <x v="5"/>
    <n v="35.799999999999997"/>
    <n v="393.79999999999995"/>
    <x v="21"/>
    <d v="2025-01-23T00:00:00"/>
    <x v="1"/>
    <x v="1"/>
    <x v="0"/>
    <x v="0"/>
    <x v="17"/>
    <x v="3"/>
    <x v="3"/>
    <x v="1"/>
  </r>
  <r>
    <x v="487"/>
    <x v="18"/>
    <x v="0"/>
    <n v="64.900000000000006"/>
    <n v="64.900000000000006"/>
    <x v="21"/>
    <d v="2025-01-23T00:00:00"/>
    <x v="1"/>
    <x v="0"/>
    <x v="1"/>
    <x v="0"/>
    <x v="17"/>
    <x v="3"/>
    <x v="3"/>
    <x v="1"/>
  </r>
  <r>
    <x v="488"/>
    <x v="18"/>
    <x v="0"/>
    <n v="28.5"/>
    <n v="28.5"/>
    <x v="21"/>
    <d v="2025-01-24T00:00:00"/>
    <x v="0"/>
    <x v="1"/>
    <x v="0"/>
    <x v="0"/>
    <x v="9"/>
    <x v="1"/>
    <x v="3"/>
    <x v="0"/>
  </r>
  <r>
    <x v="489"/>
    <x v="18"/>
    <x v="1"/>
    <n v="103.5"/>
    <n v="207"/>
    <x v="21"/>
    <d v="2025-01-24T00:00:00"/>
    <x v="2"/>
    <x v="1"/>
    <x v="0"/>
    <x v="0"/>
    <x v="10"/>
    <x v="1"/>
    <x v="3"/>
    <x v="2"/>
  </r>
  <r>
    <x v="490"/>
    <x v="4"/>
    <x v="1"/>
    <n v="41.2"/>
    <n v="82.4"/>
    <x v="21"/>
    <d v="2025-01-23T00:00:00"/>
    <x v="2"/>
    <x v="1"/>
    <x v="0"/>
    <x v="0"/>
    <x v="10"/>
    <x v="3"/>
    <x v="3"/>
    <x v="2"/>
  </r>
  <r>
    <x v="491"/>
    <x v="9"/>
    <x v="0"/>
    <n v="37.799999999999997"/>
    <n v="37.799999999999997"/>
    <x v="21"/>
    <d v="2025-01-24T00:00:00"/>
    <x v="2"/>
    <x v="3"/>
    <x v="3"/>
    <x v="0"/>
    <x v="11"/>
    <x v="1"/>
    <x v="3"/>
    <x v="2"/>
  </r>
  <r>
    <x v="492"/>
    <x v="8"/>
    <x v="1"/>
    <n v="42.6"/>
    <n v="85.2"/>
    <x v="21"/>
    <d v="2025-01-24T00:00:00"/>
    <x v="2"/>
    <x v="4"/>
    <x v="0"/>
    <x v="0"/>
    <x v="11"/>
    <x v="1"/>
    <x v="3"/>
    <x v="2"/>
  </r>
  <r>
    <x v="493"/>
    <x v="8"/>
    <x v="7"/>
    <n v="15.2"/>
    <n v="152"/>
    <x v="21"/>
    <d v="2025-01-24T00:00:00"/>
    <x v="2"/>
    <x v="2"/>
    <x v="0"/>
    <x v="0"/>
    <x v="11"/>
    <x v="1"/>
    <x v="3"/>
    <x v="2"/>
  </r>
  <r>
    <x v="494"/>
    <x v="7"/>
    <x v="12"/>
    <n v="83.4"/>
    <n v="333.6"/>
    <x v="21"/>
    <d v="2025-01-23T00:00:00"/>
    <x v="2"/>
    <x v="2"/>
    <x v="1"/>
    <x v="0"/>
    <x v="18"/>
    <x v="3"/>
    <x v="3"/>
    <x v="2"/>
  </r>
  <r>
    <x v="495"/>
    <x v="19"/>
    <x v="1"/>
    <n v="27.7"/>
    <n v="55.4"/>
    <x v="21"/>
    <d v="2025-01-23T00:00:00"/>
    <x v="2"/>
    <x v="0"/>
    <x v="1"/>
    <x v="0"/>
    <x v="13"/>
    <x v="3"/>
    <x v="3"/>
    <x v="2"/>
  </r>
  <r>
    <x v="496"/>
    <x v="10"/>
    <x v="4"/>
    <n v="20.8"/>
    <n v="249.60000000000002"/>
    <x v="21"/>
    <d v="2025-01-23T00:00:00"/>
    <x v="1"/>
    <x v="3"/>
    <x v="0"/>
    <x v="0"/>
    <x v="13"/>
    <x v="3"/>
    <x v="3"/>
    <x v="1"/>
  </r>
  <r>
    <x v="497"/>
    <x v="11"/>
    <x v="1"/>
    <n v="72.7"/>
    <n v="145.4"/>
    <x v="21"/>
    <d v="2025-01-26T00:00:00"/>
    <x v="2"/>
    <x v="4"/>
    <x v="2"/>
    <x v="0"/>
    <x v="44"/>
    <x v="5"/>
    <x v="3"/>
    <x v="2"/>
  </r>
  <r>
    <x v="498"/>
    <x v="10"/>
    <x v="12"/>
    <n v="38.6"/>
    <n v="154.4"/>
    <x v="21"/>
    <d v="2025-01-23T00:00:00"/>
    <x v="1"/>
    <x v="0"/>
    <x v="2"/>
    <x v="0"/>
    <x v="22"/>
    <x v="3"/>
    <x v="3"/>
    <x v="1"/>
  </r>
  <r>
    <x v="499"/>
    <x v="8"/>
    <x v="3"/>
    <n v="33.1"/>
    <n v="231.70000000000002"/>
    <x v="21"/>
    <d v="2025-01-23T00:00:00"/>
    <x v="3"/>
    <x v="4"/>
    <x v="3"/>
    <x v="0"/>
    <x v="3"/>
    <x v="3"/>
    <x v="3"/>
    <x v="3"/>
  </r>
  <r>
    <x v="500"/>
    <x v="10"/>
    <x v="1"/>
    <n v="30.5"/>
    <n v="61"/>
    <x v="21"/>
    <d v="2025-01-22T00:00:00"/>
    <x v="0"/>
    <x v="1"/>
    <x v="1"/>
    <x v="0"/>
    <x v="3"/>
    <x v="7"/>
    <x v="3"/>
    <x v="0"/>
  </r>
  <r>
    <x v="501"/>
    <x v="9"/>
    <x v="1"/>
    <n v="69.599999999999994"/>
    <n v="139.19999999999999"/>
    <x v="21"/>
    <d v="2025-01-23T00:00:00"/>
    <x v="1"/>
    <x v="0"/>
    <x v="1"/>
    <x v="0"/>
    <x v="3"/>
    <x v="3"/>
    <x v="3"/>
    <x v="1"/>
  </r>
  <r>
    <x v="502"/>
    <x v="11"/>
    <x v="0"/>
    <n v="42.4"/>
    <n v="42.4"/>
    <x v="21"/>
    <d v="2025-01-26T00:00:00"/>
    <x v="2"/>
    <x v="1"/>
    <x v="0"/>
    <x v="0"/>
    <x v="3"/>
    <x v="5"/>
    <x v="3"/>
    <x v="2"/>
  </r>
  <r>
    <x v="503"/>
    <x v="17"/>
    <x v="0"/>
    <n v="32.200000000000003"/>
    <n v="32.200000000000003"/>
    <x v="21"/>
    <d v="2025-01-25T00:00:00"/>
    <x v="2"/>
    <x v="2"/>
    <x v="1"/>
    <x v="0"/>
    <x v="3"/>
    <x v="2"/>
    <x v="3"/>
    <x v="2"/>
  </r>
  <r>
    <x v="504"/>
    <x v="6"/>
    <x v="1"/>
    <n v="41.5"/>
    <n v="83"/>
    <x v="21"/>
    <d v="2025-01-25T00:00:00"/>
    <x v="2"/>
    <x v="0"/>
    <x v="2"/>
    <x v="0"/>
    <x v="3"/>
    <x v="2"/>
    <x v="3"/>
    <x v="2"/>
  </r>
  <r>
    <x v="505"/>
    <x v="16"/>
    <x v="11"/>
    <n v="58.9"/>
    <n v="530.1"/>
    <x v="21"/>
    <d v="2025-01-26T00:00:00"/>
    <x v="2"/>
    <x v="3"/>
    <x v="0"/>
    <x v="0"/>
    <x v="3"/>
    <x v="5"/>
    <x v="3"/>
    <x v="2"/>
  </r>
  <r>
    <x v="506"/>
    <x v="2"/>
    <x v="0"/>
    <n v="57.1"/>
    <n v="57.1"/>
    <x v="21"/>
    <d v="2025-01-25T00:00:00"/>
    <x v="2"/>
    <x v="1"/>
    <x v="0"/>
    <x v="0"/>
    <x v="3"/>
    <x v="2"/>
    <x v="3"/>
    <x v="2"/>
  </r>
  <r>
    <x v="507"/>
    <x v="6"/>
    <x v="0"/>
    <n v="57.2"/>
    <n v="57.2"/>
    <x v="21"/>
    <d v="2025-01-24T00:00:00"/>
    <x v="1"/>
    <x v="1"/>
    <x v="0"/>
    <x v="0"/>
    <x v="3"/>
    <x v="1"/>
    <x v="3"/>
    <x v="1"/>
  </r>
  <r>
    <x v="508"/>
    <x v="8"/>
    <x v="1"/>
    <n v="35.1"/>
    <n v="70.2"/>
    <x v="21"/>
    <d v="2025-01-23T00:00:00"/>
    <x v="1"/>
    <x v="1"/>
    <x v="0"/>
    <x v="0"/>
    <x v="6"/>
    <x v="3"/>
    <x v="3"/>
    <x v="1"/>
  </r>
  <r>
    <x v="509"/>
    <x v="1"/>
    <x v="0"/>
    <n v="52.1"/>
    <n v="52.1"/>
    <x v="21"/>
    <d v="2025-01-24T00:00:00"/>
    <x v="2"/>
    <x v="4"/>
    <x v="1"/>
    <x v="0"/>
    <x v="8"/>
    <x v="1"/>
    <x v="3"/>
    <x v="2"/>
  </r>
  <r>
    <x v="510"/>
    <x v="13"/>
    <x v="2"/>
    <n v="59.8"/>
    <n v="179.39999999999998"/>
    <x v="21"/>
    <d v="2025-01-24T00:00:00"/>
    <x v="2"/>
    <x v="4"/>
    <x v="1"/>
    <x v="0"/>
    <x v="8"/>
    <x v="1"/>
    <x v="3"/>
    <x v="2"/>
  </r>
  <r>
    <x v="511"/>
    <x v="3"/>
    <x v="12"/>
    <n v="83.3"/>
    <n v="333.2"/>
    <x v="21"/>
    <d v="2025-01-22T00:00:00"/>
    <x v="0"/>
    <x v="2"/>
    <x v="0"/>
    <x v="0"/>
    <x v="8"/>
    <x v="7"/>
    <x v="3"/>
    <x v="0"/>
  </r>
  <r>
    <x v="512"/>
    <x v="15"/>
    <x v="4"/>
    <n v="41.3"/>
    <n v="495.59999999999997"/>
    <x v="21"/>
    <d v="2025-01-23T00:00:00"/>
    <x v="2"/>
    <x v="1"/>
    <x v="0"/>
    <x v="0"/>
    <x v="8"/>
    <x v="3"/>
    <x v="3"/>
    <x v="2"/>
  </r>
  <r>
    <x v="513"/>
    <x v="8"/>
    <x v="9"/>
    <n v="16"/>
    <n v="80"/>
    <x v="21"/>
    <d v="2025-01-24T00:00:00"/>
    <x v="1"/>
    <x v="4"/>
    <x v="1"/>
    <x v="0"/>
    <x v="9"/>
    <x v="1"/>
    <x v="3"/>
    <x v="1"/>
  </r>
  <r>
    <x v="514"/>
    <x v="10"/>
    <x v="1"/>
    <n v="20.8"/>
    <n v="41.6"/>
    <x v="22"/>
    <d v="2025-01-25T00:00:00"/>
    <x v="1"/>
    <x v="0"/>
    <x v="2"/>
    <x v="0"/>
    <x v="11"/>
    <x v="1"/>
    <x v="3"/>
    <x v="1"/>
  </r>
  <r>
    <x v="515"/>
    <x v="8"/>
    <x v="31"/>
    <n v="27.1"/>
    <n v="758.80000000000007"/>
    <x v="22"/>
    <d v="2025-01-24T00:00:00"/>
    <x v="0"/>
    <x v="3"/>
    <x v="2"/>
    <x v="0"/>
    <x v="11"/>
    <x v="3"/>
    <x v="3"/>
    <x v="0"/>
  </r>
  <r>
    <x v="516"/>
    <x v="10"/>
    <x v="1"/>
    <n v="38.9"/>
    <n v="77.8"/>
    <x v="22"/>
    <d v="2025-01-25T00:00:00"/>
    <x v="2"/>
    <x v="0"/>
    <x v="0"/>
    <x v="0"/>
    <x v="18"/>
    <x v="1"/>
    <x v="3"/>
    <x v="2"/>
  </r>
  <r>
    <x v="517"/>
    <x v="0"/>
    <x v="1"/>
    <n v="10.8"/>
    <n v="21.6"/>
    <x v="22"/>
    <d v="2025-01-26T00:00:00"/>
    <x v="2"/>
    <x v="1"/>
    <x v="2"/>
    <x v="0"/>
    <x v="45"/>
    <x v="2"/>
    <x v="3"/>
    <x v="2"/>
  </r>
  <r>
    <x v="518"/>
    <x v="4"/>
    <x v="15"/>
    <n v="48.4"/>
    <n v="629.19999999999993"/>
    <x v="22"/>
    <d v="2025-01-27T00:00:00"/>
    <x v="2"/>
    <x v="0"/>
    <x v="0"/>
    <x v="0"/>
    <x v="21"/>
    <x v="5"/>
    <x v="3"/>
    <x v="2"/>
  </r>
  <r>
    <x v="519"/>
    <x v="4"/>
    <x v="2"/>
    <n v="29.2"/>
    <n v="87.6"/>
    <x v="22"/>
    <d v="2025-01-26T00:00:00"/>
    <x v="2"/>
    <x v="1"/>
    <x v="1"/>
    <x v="0"/>
    <x v="2"/>
    <x v="2"/>
    <x v="3"/>
    <x v="2"/>
  </r>
  <r>
    <x v="520"/>
    <x v="4"/>
    <x v="1"/>
    <n v="25.1"/>
    <n v="50.2"/>
    <x v="22"/>
    <d v="2025-01-24T00:00:00"/>
    <x v="1"/>
    <x v="0"/>
    <x v="1"/>
    <x v="0"/>
    <x v="2"/>
    <x v="3"/>
    <x v="3"/>
    <x v="1"/>
  </r>
  <r>
    <x v="521"/>
    <x v="7"/>
    <x v="2"/>
    <n v="65.599999999999994"/>
    <n v="196.79999999999998"/>
    <x v="22"/>
    <d v="2025-01-23T00:00:00"/>
    <x v="2"/>
    <x v="2"/>
    <x v="1"/>
    <x v="0"/>
    <x v="3"/>
    <x v="7"/>
    <x v="3"/>
    <x v="2"/>
  </r>
  <r>
    <x v="522"/>
    <x v="2"/>
    <x v="1"/>
    <n v="57.3"/>
    <n v="114.6"/>
    <x v="22"/>
    <d v="2025-01-23T00:00:00"/>
    <x v="0"/>
    <x v="0"/>
    <x v="0"/>
    <x v="0"/>
    <x v="3"/>
    <x v="7"/>
    <x v="3"/>
    <x v="0"/>
  </r>
  <r>
    <x v="523"/>
    <x v="9"/>
    <x v="12"/>
    <n v="22.4"/>
    <n v="89.6"/>
    <x v="22"/>
    <d v="2025-01-24T00:00:00"/>
    <x v="2"/>
    <x v="2"/>
    <x v="2"/>
    <x v="0"/>
    <x v="3"/>
    <x v="3"/>
    <x v="3"/>
    <x v="2"/>
  </r>
  <r>
    <x v="524"/>
    <x v="12"/>
    <x v="11"/>
    <n v="45.7"/>
    <n v="411.3"/>
    <x v="22"/>
    <d v="2025-01-24T00:00:00"/>
    <x v="2"/>
    <x v="0"/>
    <x v="0"/>
    <x v="0"/>
    <x v="3"/>
    <x v="3"/>
    <x v="3"/>
    <x v="2"/>
  </r>
  <r>
    <x v="525"/>
    <x v="8"/>
    <x v="1"/>
    <n v="29.3"/>
    <n v="58.6"/>
    <x v="22"/>
    <d v="2025-01-24T00:00:00"/>
    <x v="1"/>
    <x v="1"/>
    <x v="0"/>
    <x v="0"/>
    <x v="3"/>
    <x v="3"/>
    <x v="3"/>
    <x v="1"/>
  </r>
  <r>
    <x v="526"/>
    <x v="18"/>
    <x v="32"/>
    <n v="74"/>
    <n v="1628"/>
    <x v="22"/>
    <d v="2025-01-24T00:00:00"/>
    <x v="1"/>
    <x v="0"/>
    <x v="2"/>
    <x v="0"/>
    <x v="3"/>
    <x v="3"/>
    <x v="3"/>
    <x v="1"/>
  </r>
  <r>
    <x v="527"/>
    <x v="14"/>
    <x v="1"/>
    <n v="39.200000000000003"/>
    <n v="78.400000000000006"/>
    <x v="22"/>
    <d v="2025-01-25T00:00:00"/>
    <x v="2"/>
    <x v="1"/>
    <x v="0"/>
    <x v="0"/>
    <x v="3"/>
    <x v="1"/>
    <x v="3"/>
    <x v="2"/>
  </r>
  <r>
    <x v="528"/>
    <x v="4"/>
    <x v="14"/>
    <n v="62.7"/>
    <n v="1065.9000000000001"/>
    <x v="22"/>
    <d v="2025-01-24T00:00:00"/>
    <x v="2"/>
    <x v="2"/>
    <x v="1"/>
    <x v="0"/>
    <x v="3"/>
    <x v="3"/>
    <x v="3"/>
    <x v="2"/>
  </r>
  <r>
    <x v="529"/>
    <x v="10"/>
    <x v="1"/>
    <n v="60.1"/>
    <n v="120.2"/>
    <x v="22"/>
    <d v="2025-01-24T00:00:00"/>
    <x v="2"/>
    <x v="3"/>
    <x v="0"/>
    <x v="0"/>
    <x v="3"/>
    <x v="3"/>
    <x v="3"/>
    <x v="2"/>
  </r>
  <r>
    <x v="530"/>
    <x v="0"/>
    <x v="12"/>
    <n v="11.2"/>
    <n v="44.8"/>
    <x v="22"/>
    <d v="2025-01-24T00:00:00"/>
    <x v="2"/>
    <x v="3"/>
    <x v="1"/>
    <x v="0"/>
    <x v="3"/>
    <x v="3"/>
    <x v="3"/>
    <x v="2"/>
  </r>
  <r>
    <x v="531"/>
    <x v="8"/>
    <x v="1"/>
    <n v="22.9"/>
    <n v="45.8"/>
    <x v="22"/>
    <d v="2025-01-24T00:00:00"/>
    <x v="2"/>
    <x v="0"/>
    <x v="0"/>
    <x v="0"/>
    <x v="6"/>
    <x v="3"/>
    <x v="3"/>
    <x v="2"/>
  </r>
  <r>
    <x v="532"/>
    <x v="1"/>
    <x v="1"/>
    <n v="37.6"/>
    <n v="75.2"/>
    <x v="22"/>
    <d v="2025-01-26T00:00:00"/>
    <x v="2"/>
    <x v="0"/>
    <x v="0"/>
    <x v="0"/>
    <x v="6"/>
    <x v="2"/>
    <x v="3"/>
    <x v="2"/>
  </r>
  <r>
    <x v="533"/>
    <x v="6"/>
    <x v="0"/>
    <n v="42.4"/>
    <n v="42.4"/>
    <x v="22"/>
    <d v="2025-01-24T00:00:00"/>
    <x v="2"/>
    <x v="3"/>
    <x v="2"/>
    <x v="0"/>
    <x v="6"/>
    <x v="3"/>
    <x v="3"/>
    <x v="2"/>
  </r>
  <r>
    <x v="534"/>
    <x v="8"/>
    <x v="1"/>
    <n v="19.600000000000001"/>
    <n v="39.200000000000003"/>
    <x v="22"/>
    <d v="2025-01-27T00:00:00"/>
    <x v="2"/>
    <x v="2"/>
    <x v="0"/>
    <x v="0"/>
    <x v="7"/>
    <x v="5"/>
    <x v="3"/>
    <x v="2"/>
  </r>
  <r>
    <x v="535"/>
    <x v="9"/>
    <x v="0"/>
    <n v="90.5"/>
    <n v="90.5"/>
    <x v="22"/>
    <d v="2025-01-26T00:00:00"/>
    <x v="2"/>
    <x v="2"/>
    <x v="0"/>
    <x v="0"/>
    <x v="7"/>
    <x v="2"/>
    <x v="3"/>
    <x v="2"/>
  </r>
  <r>
    <x v="536"/>
    <x v="16"/>
    <x v="5"/>
    <n v="33.9"/>
    <n v="372.9"/>
    <x v="22"/>
    <d v="2025-01-24T00:00:00"/>
    <x v="1"/>
    <x v="2"/>
    <x v="1"/>
    <x v="0"/>
    <x v="7"/>
    <x v="3"/>
    <x v="3"/>
    <x v="1"/>
  </r>
  <r>
    <x v="537"/>
    <x v="0"/>
    <x v="1"/>
    <n v="32.799999999999997"/>
    <n v="65.599999999999994"/>
    <x v="22"/>
    <d v="2025-01-25T00:00:00"/>
    <x v="2"/>
    <x v="4"/>
    <x v="4"/>
    <x v="0"/>
    <x v="8"/>
    <x v="1"/>
    <x v="3"/>
    <x v="2"/>
  </r>
  <r>
    <x v="538"/>
    <x v="15"/>
    <x v="0"/>
    <n v="49.9"/>
    <n v="49.9"/>
    <x v="22"/>
    <d v="2025-01-24T00:00:00"/>
    <x v="1"/>
    <x v="3"/>
    <x v="1"/>
    <x v="0"/>
    <x v="8"/>
    <x v="3"/>
    <x v="3"/>
    <x v="1"/>
  </r>
  <r>
    <x v="539"/>
    <x v="7"/>
    <x v="9"/>
    <n v="79.2"/>
    <n v="396"/>
    <x v="22"/>
    <d v="2025-01-24T00:00:00"/>
    <x v="2"/>
    <x v="4"/>
    <x v="0"/>
    <x v="0"/>
    <x v="8"/>
    <x v="3"/>
    <x v="3"/>
    <x v="2"/>
  </r>
  <r>
    <x v="540"/>
    <x v="8"/>
    <x v="27"/>
    <n v="19.5"/>
    <n v="312"/>
    <x v="22"/>
    <d v="2025-01-25T00:00:00"/>
    <x v="1"/>
    <x v="3"/>
    <x v="2"/>
    <x v="0"/>
    <x v="8"/>
    <x v="1"/>
    <x v="3"/>
    <x v="1"/>
  </r>
  <r>
    <x v="541"/>
    <x v="8"/>
    <x v="12"/>
    <n v="18"/>
    <n v="72"/>
    <x v="22"/>
    <d v="2025-01-24T00:00:00"/>
    <x v="1"/>
    <x v="1"/>
    <x v="0"/>
    <x v="0"/>
    <x v="10"/>
    <x v="3"/>
    <x v="3"/>
    <x v="1"/>
  </r>
  <r>
    <x v="542"/>
    <x v="9"/>
    <x v="2"/>
    <n v="45.9"/>
    <n v="137.69999999999999"/>
    <x v="22"/>
    <d v="2025-01-25T00:00:00"/>
    <x v="2"/>
    <x v="1"/>
    <x v="1"/>
    <x v="0"/>
    <x v="10"/>
    <x v="1"/>
    <x v="3"/>
    <x v="2"/>
  </r>
  <r>
    <x v="543"/>
    <x v="11"/>
    <x v="0"/>
    <n v="41.2"/>
    <n v="41.2"/>
    <x v="22"/>
    <d v="2025-01-25T00:00:00"/>
    <x v="2"/>
    <x v="1"/>
    <x v="2"/>
    <x v="0"/>
    <x v="11"/>
    <x v="1"/>
    <x v="3"/>
    <x v="2"/>
  </r>
  <r>
    <x v="544"/>
    <x v="2"/>
    <x v="7"/>
    <n v="167.2"/>
    <n v="1672"/>
    <x v="22"/>
    <d v="2025-01-25T00:00:00"/>
    <x v="2"/>
    <x v="2"/>
    <x v="2"/>
    <x v="0"/>
    <x v="32"/>
    <x v="1"/>
    <x v="3"/>
    <x v="2"/>
  </r>
  <r>
    <x v="545"/>
    <x v="6"/>
    <x v="17"/>
    <n v="74.5"/>
    <n v="2235"/>
    <x v="23"/>
    <d v="2025-01-27T00:00:00"/>
    <x v="2"/>
    <x v="1"/>
    <x v="2"/>
    <x v="0"/>
    <x v="38"/>
    <x v="2"/>
    <x v="3"/>
    <x v="2"/>
  </r>
  <r>
    <x v="546"/>
    <x v="7"/>
    <x v="12"/>
    <n v="39.299999999999997"/>
    <n v="157.19999999999999"/>
    <x v="23"/>
    <d v="2025-01-25T00:00:00"/>
    <x v="0"/>
    <x v="2"/>
    <x v="0"/>
    <x v="0"/>
    <x v="19"/>
    <x v="3"/>
    <x v="3"/>
    <x v="0"/>
  </r>
  <r>
    <x v="547"/>
    <x v="9"/>
    <x v="0"/>
    <n v="68.5"/>
    <n v="68.5"/>
    <x v="23"/>
    <d v="2025-01-27T00:00:00"/>
    <x v="1"/>
    <x v="1"/>
    <x v="2"/>
    <x v="0"/>
    <x v="12"/>
    <x v="2"/>
    <x v="3"/>
    <x v="1"/>
  </r>
  <r>
    <x v="548"/>
    <x v="0"/>
    <x v="2"/>
    <n v="22.5"/>
    <n v="67.5"/>
    <x v="23"/>
    <d v="2025-01-24T00:00:00"/>
    <x v="2"/>
    <x v="4"/>
    <x v="0"/>
    <x v="0"/>
    <x v="13"/>
    <x v="7"/>
    <x v="3"/>
    <x v="2"/>
  </r>
  <r>
    <x v="549"/>
    <x v="1"/>
    <x v="0"/>
    <n v="48"/>
    <n v="48"/>
    <x v="23"/>
    <d v="2025-01-25T00:00:00"/>
    <x v="3"/>
    <x v="4"/>
    <x v="1"/>
    <x v="0"/>
    <x v="46"/>
    <x v="3"/>
    <x v="3"/>
    <x v="3"/>
  </r>
  <r>
    <x v="550"/>
    <x v="6"/>
    <x v="0"/>
    <n v="94"/>
    <n v="94"/>
    <x v="23"/>
    <d v="2025-01-25T00:00:00"/>
    <x v="1"/>
    <x v="3"/>
    <x v="1"/>
    <x v="0"/>
    <x v="1"/>
    <x v="3"/>
    <x v="3"/>
    <x v="1"/>
  </r>
  <r>
    <x v="551"/>
    <x v="8"/>
    <x v="2"/>
    <n v="21.9"/>
    <n v="65.699999999999989"/>
    <x v="23"/>
    <d v="2025-01-25T00:00:00"/>
    <x v="2"/>
    <x v="0"/>
    <x v="0"/>
    <x v="0"/>
    <x v="44"/>
    <x v="3"/>
    <x v="3"/>
    <x v="2"/>
  </r>
  <r>
    <x v="552"/>
    <x v="6"/>
    <x v="3"/>
    <n v="64.900000000000006"/>
    <n v="454.30000000000007"/>
    <x v="23"/>
    <d v="2025-01-25T00:00:00"/>
    <x v="2"/>
    <x v="0"/>
    <x v="0"/>
    <x v="0"/>
    <x v="3"/>
    <x v="3"/>
    <x v="3"/>
    <x v="2"/>
  </r>
  <r>
    <x v="553"/>
    <x v="12"/>
    <x v="0"/>
    <n v="52.9"/>
    <n v="52.9"/>
    <x v="23"/>
    <d v="2025-01-24T00:00:00"/>
    <x v="2"/>
    <x v="1"/>
    <x v="1"/>
    <x v="0"/>
    <x v="3"/>
    <x v="7"/>
    <x v="3"/>
    <x v="2"/>
  </r>
  <r>
    <x v="554"/>
    <x v="8"/>
    <x v="2"/>
    <n v="25.5"/>
    <n v="76.5"/>
    <x v="23"/>
    <d v="2025-01-25T00:00:00"/>
    <x v="2"/>
    <x v="1"/>
    <x v="2"/>
    <x v="0"/>
    <x v="3"/>
    <x v="3"/>
    <x v="3"/>
    <x v="2"/>
  </r>
  <r>
    <x v="555"/>
    <x v="6"/>
    <x v="2"/>
    <n v="51.9"/>
    <n v="155.69999999999999"/>
    <x v="23"/>
    <d v="2025-01-25T00:00:00"/>
    <x v="2"/>
    <x v="3"/>
    <x v="0"/>
    <x v="0"/>
    <x v="3"/>
    <x v="3"/>
    <x v="3"/>
    <x v="2"/>
  </r>
  <r>
    <x v="556"/>
    <x v="5"/>
    <x v="0"/>
    <n v="46.3"/>
    <n v="46.3"/>
    <x v="23"/>
    <d v="2025-01-27T00:00:00"/>
    <x v="2"/>
    <x v="4"/>
    <x v="0"/>
    <x v="0"/>
    <x v="3"/>
    <x v="2"/>
    <x v="3"/>
    <x v="2"/>
  </r>
  <r>
    <x v="557"/>
    <x v="6"/>
    <x v="1"/>
    <n v="68.2"/>
    <n v="136.4"/>
    <x v="23"/>
    <d v="2025-01-26T00:00:00"/>
    <x v="2"/>
    <x v="3"/>
    <x v="0"/>
    <x v="0"/>
    <x v="3"/>
    <x v="1"/>
    <x v="3"/>
    <x v="2"/>
  </r>
  <r>
    <x v="558"/>
    <x v="1"/>
    <x v="0"/>
    <n v="40.299999999999997"/>
    <n v="40.299999999999997"/>
    <x v="23"/>
    <d v="2025-01-25T00:00:00"/>
    <x v="1"/>
    <x v="0"/>
    <x v="1"/>
    <x v="0"/>
    <x v="3"/>
    <x v="3"/>
    <x v="3"/>
    <x v="1"/>
  </r>
  <r>
    <x v="559"/>
    <x v="2"/>
    <x v="2"/>
    <n v="91.3"/>
    <n v="273.89999999999998"/>
    <x v="23"/>
    <d v="2025-01-29T00:00:00"/>
    <x v="1"/>
    <x v="0"/>
    <x v="2"/>
    <x v="0"/>
    <x v="6"/>
    <x v="0"/>
    <x v="3"/>
    <x v="1"/>
  </r>
  <r>
    <x v="560"/>
    <x v="0"/>
    <x v="2"/>
    <n v="11.9"/>
    <n v="35.700000000000003"/>
    <x v="23"/>
    <d v="2025-01-25T00:00:00"/>
    <x v="2"/>
    <x v="0"/>
    <x v="1"/>
    <x v="0"/>
    <x v="6"/>
    <x v="3"/>
    <x v="3"/>
    <x v="2"/>
  </r>
  <r>
    <x v="561"/>
    <x v="2"/>
    <x v="1"/>
    <n v="63.5"/>
    <n v="127"/>
    <x v="23"/>
    <d v="2025-01-26T00:00:00"/>
    <x v="1"/>
    <x v="1"/>
    <x v="0"/>
    <x v="0"/>
    <x v="6"/>
    <x v="1"/>
    <x v="3"/>
    <x v="1"/>
  </r>
  <r>
    <x v="562"/>
    <x v="4"/>
    <x v="1"/>
    <n v="27.1"/>
    <n v="54.2"/>
    <x v="23"/>
    <d v="2025-01-27T00:00:00"/>
    <x v="1"/>
    <x v="2"/>
    <x v="2"/>
    <x v="0"/>
    <x v="6"/>
    <x v="2"/>
    <x v="3"/>
    <x v="1"/>
  </r>
  <r>
    <x v="563"/>
    <x v="1"/>
    <x v="1"/>
    <n v="82.1"/>
    <n v="164.2"/>
    <x v="24"/>
    <d v="2025-01-28T00:00:00"/>
    <x v="1"/>
    <x v="1"/>
    <x v="1"/>
    <x v="0"/>
    <x v="7"/>
    <x v="2"/>
    <x v="3"/>
    <x v="1"/>
  </r>
  <r>
    <x v="564"/>
    <x v="3"/>
    <x v="9"/>
    <n v="42.9"/>
    <n v="214.5"/>
    <x v="24"/>
    <d v="2025-01-27T00:00:00"/>
    <x v="2"/>
    <x v="1"/>
    <x v="0"/>
    <x v="0"/>
    <x v="8"/>
    <x v="1"/>
    <x v="3"/>
    <x v="2"/>
  </r>
  <r>
    <x v="565"/>
    <x v="8"/>
    <x v="5"/>
    <n v="37.9"/>
    <n v="416.9"/>
    <x v="24"/>
    <d v="2025-02-01T00:00:00"/>
    <x v="1"/>
    <x v="0"/>
    <x v="0"/>
    <x v="0"/>
    <x v="8"/>
    <x v="6"/>
    <x v="3"/>
    <x v="1"/>
  </r>
  <r>
    <x v="566"/>
    <x v="0"/>
    <x v="0"/>
    <n v="22.4"/>
    <n v="22.4"/>
    <x v="24"/>
    <d v="2025-01-26T00:00:00"/>
    <x v="2"/>
    <x v="0"/>
    <x v="1"/>
    <x v="0"/>
    <x v="17"/>
    <x v="3"/>
    <x v="3"/>
    <x v="2"/>
  </r>
  <r>
    <x v="567"/>
    <x v="2"/>
    <x v="15"/>
    <n v="79.900000000000006"/>
    <n v="1038.7"/>
    <x v="24"/>
    <d v="2025-02-07T00:00:00"/>
    <x v="2"/>
    <x v="3"/>
    <x v="1"/>
    <x v="0"/>
    <x v="11"/>
    <x v="10"/>
    <x v="3"/>
    <x v="2"/>
  </r>
  <r>
    <x v="568"/>
    <x v="1"/>
    <x v="0"/>
    <n v="70.599999999999994"/>
    <n v="70.599999999999994"/>
    <x v="24"/>
    <d v="2025-01-28T00:00:00"/>
    <x v="2"/>
    <x v="0"/>
    <x v="1"/>
    <x v="0"/>
    <x v="11"/>
    <x v="2"/>
    <x v="3"/>
    <x v="2"/>
  </r>
  <r>
    <x v="569"/>
    <x v="6"/>
    <x v="0"/>
    <n v="49.5"/>
    <n v="49.5"/>
    <x v="24"/>
    <d v="2025-01-27T00:00:00"/>
    <x v="1"/>
    <x v="0"/>
    <x v="0"/>
    <x v="0"/>
    <x v="13"/>
    <x v="1"/>
    <x v="3"/>
    <x v="1"/>
  </r>
  <r>
    <x v="570"/>
    <x v="2"/>
    <x v="1"/>
    <n v="96.6"/>
    <n v="193.2"/>
    <x v="24"/>
    <d v="2025-01-27T00:00:00"/>
    <x v="1"/>
    <x v="0"/>
    <x v="0"/>
    <x v="0"/>
    <x v="21"/>
    <x v="1"/>
    <x v="3"/>
    <x v="1"/>
  </r>
  <r>
    <x v="571"/>
    <x v="6"/>
    <x v="1"/>
    <n v="52.8"/>
    <n v="105.6"/>
    <x v="24"/>
    <d v="2025-01-26T00:00:00"/>
    <x v="2"/>
    <x v="1"/>
    <x v="1"/>
    <x v="0"/>
    <x v="21"/>
    <x v="3"/>
    <x v="3"/>
    <x v="2"/>
  </r>
  <r>
    <x v="572"/>
    <x v="2"/>
    <x v="0"/>
    <n v="101.7"/>
    <n v="101.7"/>
    <x v="24"/>
    <d v="2025-01-26T00:00:00"/>
    <x v="1"/>
    <x v="0"/>
    <x v="0"/>
    <x v="0"/>
    <x v="1"/>
    <x v="3"/>
    <x v="3"/>
    <x v="1"/>
  </r>
  <r>
    <x v="573"/>
    <x v="4"/>
    <x v="9"/>
    <n v="26.9"/>
    <n v="134.5"/>
    <x v="24"/>
    <d v="2025-01-30T00:00:00"/>
    <x v="2"/>
    <x v="1"/>
    <x v="1"/>
    <x v="0"/>
    <x v="22"/>
    <x v="0"/>
    <x v="3"/>
    <x v="2"/>
  </r>
  <r>
    <x v="574"/>
    <x v="2"/>
    <x v="12"/>
    <n v="211"/>
    <n v="844"/>
    <x v="24"/>
    <d v="2025-01-25T00:00:00"/>
    <x v="2"/>
    <x v="1"/>
    <x v="1"/>
    <x v="0"/>
    <x v="3"/>
    <x v="7"/>
    <x v="3"/>
    <x v="2"/>
  </r>
  <r>
    <x v="575"/>
    <x v="0"/>
    <x v="12"/>
    <n v="21.1"/>
    <n v="84.4"/>
    <x v="24"/>
    <d v="2025-01-28T00:00:00"/>
    <x v="1"/>
    <x v="4"/>
    <x v="0"/>
    <x v="0"/>
    <x v="3"/>
    <x v="2"/>
    <x v="3"/>
    <x v="1"/>
  </r>
  <r>
    <x v="576"/>
    <x v="10"/>
    <x v="0"/>
    <n v="26.6"/>
    <n v="26.6"/>
    <x v="24"/>
    <d v="2025-01-27T00:00:00"/>
    <x v="1"/>
    <x v="0"/>
    <x v="4"/>
    <x v="0"/>
    <x v="3"/>
    <x v="1"/>
    <x v="3"/>
    <x v="1"/>
  </r>
  <r>
    <x v="577"/>
    <x v="12"/>
    <x v="12"/>
    <n v="51.2"/>
    <n v="204.8"/>
    <x v="24"/>
    <d v="2025-01-26T00:00:00"/>
    <x v="2"/>
    <x v="3"/>
    <x v="0"/>
    <x v="0"/>
    <x v="47"/>
    <x v="3"/>
    <x v="3"/>
    <x v="2"/>
  </r>
  <r>
    <x v="578"/>
    <x v="0"/>
    <x v="9"/>
    <n v="10.6"/>
    <n v="53"/>
    <x v="24"/>
    <d v="2025-01-29T00:00:00"/>
    <x v="2"/>
    <x v="0"/>
    <x v="0"/>
    <x v="0"/>
    <x v="8"/>
    <x v="5"/>
    <x v="3"/>
    <x v="2"/>
  </r>
  <r>
    <x v="579"/>
    <x v="6"/>
    <x v="2"/>
    <n v="43.4"/>
    <n v="130.19999999999999"/>
    <x v="24"/>
    <d v="2025-01-28T00:00:00"/>
    <x v="2"/>
    <x v="4"/>
    <x v="0"/>
    <x v="0"/>
    <x v="8"/>
    <x v="2"/>
    <x v="3"/>
    <x v="2"/>
  </r>
  <r>
    <x v="580"/>
    <x v="12"/>
    <x v="0"/>
    <n v="80"/>
    <n v="80"/>
    <x v="24"/>
    <d v="2025-01-25T00:00:00"/>
    <x v="2"/>
    <x v="0"/>
    <x v="2"/>
    <x v="0"/>
    <x v="8"/>
    <x v="7"/>
    <x v="3"/>
    <x v="2"/>
  </r>
  <r>
    <x v="581"/>
    <x v="10"/>
    <x v="12"/>
    <n v="64.7"/>
    <n v="258.8"/>
    <x v="24"/>
    <d v="2025-01-27T00:00:00"/>
    <x v="2"/>
    <x v="1"/>
    <x v="4"/>
    <x v="0"/>
    <x v="8"/>
    <x v="1"/>
    <x v="3"/>
    <x v="2"/>
  </r>
  <r>
    <x v="582"/>
    <x v="8"/>
    <x v="5"/>
    <n v="26.3"/>
    <n v="289.3"/>
    <x v="25"/>
    <d v="2025-01-26T00:00:00"/>
    <x v="2"/>
    <x v="4"/>
    <x v="1"/>
    <x v="0"/>
    <x v="26"/>
    <x v="7"/>
    <x v="4"/>
    <x v="2"/>
  </r>
  <r>
    <x v="583"/>
    <x v="10"/>
    <x v="0"/>
    <n v="28.5"/>
    <n v="28.5"/>
    <x v="25"/>
    <d v="2025-01-26T00:00:00"/>
    <x v="1"/>
    <x v="0"/>
    <x v="1"/>
    <x v="0"/>
    <x v="9"/>
    <x v="7"/>
    <x v="4"/>
    <x v="1"/>
  </r>
  <r>
    <x v="584"/>
    <x v="17"/>
    <x v="0"/>
    <n v="47.8"/>
    <n v="47.8"/>
    <x v="25"/>
    <d v="2025-01-28T00:00:00"/>
    <x v="2"/>
    <x v="0"/>
    <x v="1"/>
    <x v="0"/>
    <x v="9"/>
    <x v="1"/>
    <x v="4"/>
    <x v="2"/>
  </r>
  <r>
    <x v="585"/>
    <x v="10"/>
    <x v="2"/>
    <n v="42.8"/>
    <n v="128.39999999999998"/>
    <x v="25"/>
    <d v="2025-01-29T00:00:00"/>
    <x v="2"/>
    <x v="4"/>
    <x v="1"/>
    <x v="0"/>
    <x v="11"/>
    <x v="2"/>
    <x v="4"/>
    <x v="2"/>
  </r>
  <r>
    <x v="586"/>
    <x v="6"/>
    <x v="9"/>
    <n v="46.8"/>
    <n v="234"/>
    <x v="25"/>
    <d v="2025-01-31T00:00:00"/>
    <x v="2"/>
    <x v="1"/>
    <x v="2"/>
    <x v="0"/>
    <x v="11"/>
    <x v="0"/>
    <x v="4"/>
    <x v="2"/>
  </r>
  <r>
    <x v="587"/>
    <x v="1"/>
    <x v="7"/>
    <n v="64.099999999999994"/>
    <n v="641"/>
    <x v="25"/>
    <d v="2025-01-27T00:00:00"/>
    <x v="1"/>
    <x v="1"/>
    <x v="0"/>
    <x v="0"/>
    <x v="11"/>
    <x v="3"/>
    <x v="4"/>
    <x v="1"/>
  </r>
  <r>
    <x v="588"/>
    <x v="2"/>
    <x v="0"/>
    <n v="89.1"/>
    <n v="89.1"/>
    <x v="25"/>
    <d v="2025-01-27T00:00:00"/>
    <x v="2"/>
    <x v="0"/>
    <x v="1"/>
    <x v="0"/>
    <x v="20"/>
    <x v="3"/>
    <x v="4"/>
    <x v="2"/>
  </r>
  <r>
    <x v="589"/>
    <x v="2"/>
    <x v="2"/>
    <n v="83.1"/>
    <n v="249.29999999999998"/>
    <x v="25"/>
    <d v="2025-01-27T00:00:00"/>
    <x v="2"/>
    <x v="2"/>
    <x v="1"/>
    <x v="0"/>
    <x v="13"/>
    <x v="3"/>
    <x v="4"/>
    <x v="2"/>
  </r>
  <r>
    <x v="590"/>
    <x v="8"/>
    <x v="2"/>
    <n v="40.9"/>
    <n v="122.69999999999999"/>
    <x v="25"/>
    <d v="2025-01-27T00:00:00"/>
    <x v="1"/>
    <x v="0"/>
    <x v="0"/>
    <x v="0"/>
    <x v="1"/>
    <x v="3"/>
    <x v="4"/>
    <x v="1"/>
  </r>
  <r>
    <x v="591"/>
    <x v="2"/>
    <x v="1"/>
    <n v="125.7"/>
    <n v="251.4"/>
    <x v="25"/>
    <d v="2025-01-27T00:00:00"/>
    <x v="2"/>
    <x v="3"/>
    <x v="0"/>
    <x v="0"/>
    <x v="2"/>
    <x v="3"/>
    <x v="4"/>
    <x v="2"/>
  </r>
  <r>
    <x v="592"/>
    <x v="3"/>
    <x v="1"/>
    <n v="30.9"/>
    <n v="61.8"/>
    <x v="25"/>
    <d v="2025-01-26T00:00:00"/>
    <x v="2"/>
    <x v="2"/>
    <x v="2"/>
    <x v="0"/>
    <x v="22"/>
    <x v="7"/>
    <x v="4"/>
    <x v="2"/>
  </r>
  <r>
    <x v="593"/>
    <x v="8"/>
    <x v="1"/>
    <n v="18.3"/>
    <n v="36.6"/>
    <x v="25"/>
    <d v="2025-01-27T00:00:00"/>
    <x v="2"/>
    <x v="1"/>
    <x v="0"/>
    <x v="0"/>
    <x v="3"/>
    <x v="3"/>
    <x v="4"/>
    <x v="2"/>
  </r>
  <r>
    <x v="594"/>
    <x v="4"/>
    <x v="1"/>
    <n v="56.5"/>
    <n v="113"/>
    <x v="25"/>
    <d v="2025-01-30T00:00:00"/>
    <x v="1"/>
    <x v="2"/>
    <x v="2"/>
    <x v="0"/>
    <x v="3"/>
    <x v="5"/>
    <x v="4"/>
    <x v="1"/>
  </r>
  <r>
    <x v="595"/>
    <x v="10"/>
    <x v="3"/>
    <n v="29.9"/>
    <n v="209.29999999999998"/>
    <x v="25"/>
    <d v="2025-01-28T00:00:00"/>
    <x v="1"/>
    <x v="4"/>
    <x v="2"/>
    <x v="0"/>
    <x v="3"/>
    <x v="1"/>
    <x v="4"/>
    <x v="1"/>
  </r>
  <r>
    <x v="596"/>
    <x v="5"/>
    <x v="1"/>
    <n v="50.4"/>
    <n v="100.8"/>
    <x v="25"/>
    <d v="2025-01-27T00:00:00"/>
    <x v="2"/>
    <x v="2"/>
    <x v="0"/>
    <x v="0"/>
    <x v="3"/>
    <x v="3"/>
    <x v="4"/>
    <x v="2"/>
  </r>
  <r>
    <x v="597"/>
    <x v="2"/>
    <x v="0"/>
    <n v="85.8"/>
    <n v="85.8"/>
    <x v="25"/>
    <d v="2025-01-26T00:00:00"/>
    <x v="2"/>
    <x v="2"/>
    <x v="2"/>
    <x v="0"/>
    <x v="3"/>
    <x v="7"/>
    <x v="4"/>
    <x v="2"/>
  </r>
  <r>
    <x v="598"/>
    <x v="4"/>
    <x v="27"/>
    <n v="66.599999999999994"/>
    <n v="1065.5999999999999"/>
    <x v="25"/>
    <d v="2025-01-28T00:00:00"/>
    <x v="1"/>
    <x v="1"/>
    <x v="0"/>
    <x v="0"/>
    <x v="3"/>
    <x v="1"/>
    <x v="4"/>
    <x v="1"/>
  </r>
  <r>
    <x v="599"/>
    <x v="6"/>
    <x v="12"/>
    <n v="70.3"/>
    <n v="281.2"/>
    <x v="25"/>
    <d v="2025-01-27T00:00:00"/>
    <x v="2"/>
    <x v="0"/>
    <x v="1"/>
    <x v="0"/>
    <x v="3"/>
    <x v="3"/>
    <x v="4"/>
    <x v="2"/>
  </r>
  <r>
    <x v="600"/>
    <x v="8"/>
    <x v="12"/>
    <n v="31"/>
    <n v="124"/>
    <x v="25"/>
    <d v="2025-01-29T00:00:00"/>
    <x v="1"/>
    <x v="0"/>
    <x v="2"/>
    <x v="0"/>
    <x v="3"/>
    <x v="2"/>
    <x v="4"/>
    <x v="1"/>
  </r>
  <r>
    <x v="601"/>
    <x v="7"/>
    <x v="13"/>
    <n v="81.599999999999994"/>
    <n v="489.59999999999997"/>
    <x v="25"/>
    <d v="2025-01-27T00:00:00"/>
    <x v="2"/>
    <x v="1"/>
    <x v="1"/>
    <x v="0"/>
    <x v="37"/>
    <x v="3"/>
    <x v="4"/>
    <x v="2"/>
  </r>
  <r>
    <x v="602"/>
    <x v="1"/>
    <x v="30"/>
    <n v="58.3"/>
    <n v="1457.5"/>
    <x v="25"/>
    <d v="2025-01-27T00:00:00"/>
    <x v="2"/>
    <x v="0"/>
    <x v="0"/>
    <x v="0"/>
    <x v="16"/>
    <x v="3"/>
    <x v="4"/>
    <x v="2"/>
  </r>
  <r>
    <x v="603"/>
    <x v="1"/>
    <x v="12"/>
    <n v="35.1"/>
    <n v="140.4"/>
    <x v="25"/>
    <d v="2025-01-28T00:00:00"/>
    <x v="1"/>
    <x v="0"/>
    <x v="2"/>
    <x v="0"/>
    <x v="8"/>
    <x v="1"/>
    <x v="4"/>
    <x v="1"/>
  </r>
  <r>
    <x v="604"/>
    <x v="2"/>
    <x v="0"/>
    <n v="80.2"/>
    <n v="80.2"/>
    <x v="25"/>
    <d v="2025-01-27T00:00:00"/>
    <x v="1"/>
    <x v="3"/>
    <x v="2"/>
    <x v="0"/>
    <x v="8"/>
    <x v="3"/>
    <x v="4"/>
    <x v="1"/>
  </r>
  <r>
    <x v="605"/>
    <x v="14"/>
    <x v="2"/>
    <n v="39.200000000000003"/>
    <n v="117.60000000000001"/>
    <x v="25"/>
    <d v="2025-01-28T00:00:00"/>
    <x v="2"/>
    <x v="1"/>
    <x v="0"/>
    <x v="0"/>
    <x v="9"/>
    <x v="1"/>
    <x v="4"/>
    <x v="2"/>
  </r>
  <r>
    <x v="606"/>
    <x v="0"/>
    <x v="1"/>
    <n v="15.4"/>
    <n v="30.8"/>
    <x v="25"/>
    <d v="2025-01-26T00:00:00"/>
    <x v="2"/>
    <x v="3"/>
    <x v="0"/>
    <x v="0"/>
    <x v="48"/>
    <x v="7"/>
    <x v="4"/>
    <x v="2"/>
  </r>
  <r>
    <x v="607"/>
    <x v="3"/>
    <x v="2"/>
    <n v="65.400000000000006"/>
    <n v="196.20000000000002"/>
    <x v="25"/>
    <d v="2025-01-29T00:00:00"/>
    <x v="1"/>
    <x v="3"/>
    <x v="0"/>
    <x v="0"/>
    <x v="18"/>
    <x v="2"/>
    <x v="4"/>
    <x v="1"/>
  </r>
  <r>
    <x v="608"/>
    <x v="1"/>
    <x v="8"/>
    <n v="63.2"/>
    <n v="505.6"/>
    <x v="25"/>
    <d v="2025-01-28T00:00:00"/>
    <x v="2"/>
    <x v="1"/>
    <x v="0"/>
    <x v="0"/>
    <x v="19"/>
    <x v="1"/>
    <x v="4"/>
    <x v="2"/>
  </r>
  <r>
    <x v="609"/>
    <x v="1"/>
    <x v="13"/>
    <n v="35.700000000000003"/>
    <n v="214.20000000000002"/>
    <x v="25"/>
    <d v="2025-01-30T00:00:00"/>
    <x v="2"/>
    <x v="4"/>
    <x v="1"/>
    <x v="0"/>
    <x v="19"/>
    <x v="5"/>
    <x v="4"/>
    <x v="2"/>
  </r>
  <r>
    <x v="610"/>
    <x v="0"/>
    <x v="28"/>
    <n v="26.2"/>
    <n v="524"/>
    <x v="25"/>
    <d v="2025-01-27T00:00:00"/>
    <x v="2"/>
    <x v="3"/>
    <x v="0"/>
    <x v="0"/>
    <x v="21"/>
    <x v="3"/>
    <x v="4"/>
    <x v="2"/>
  </r>
  <r>
    <x v="611"/>
    <x v="7"/>
    <x v="1"/>
    <n v="31"/>
    <n v="62"/>
    <x v="25"/>
    <d v="2025-01-27T00:00:00"/>
    <x v="2"/>
    <x v="0"/>
    <x v="2"/>
    <x v="0"/>
    <x v="1"/>
    <x v="3"/>
    <x v="4"/>
    <x v="2"/>
  </r>
  <r>
    <x v="612"/>
    <x v="8"/>
    <x v="12"/>
    <n v="37.700000000000003"/>
    <n v="150.80000000000001"/>
    <x v="25"/>
    <d v="2025-01-27T00:00:00"/>
    <x v="2"/>
    <x v="1"/>
    <x v="0"/>
    <x v="0"/>
    <x v="22"/>
    <x v="3"/>
    <x v="4"/>
    <x v="2"/>
  </r>
  <r>
    <x v="613"/>
    <x v="10"/>
    <x v="33"/>
    <n v="43.6"/>
    <n v="1482.4"/>
    <x v="25"/>
    <d v="2025-01-28T00:00:00"/>
    <x v="2"/>
    <x v="4"/>
    <x v="1"/>
    <x v="0"/>
    <x v="3"/>
    <x v="1"/>
    <x v="4"/>
    <x v="2"/>
  </r>
  <r>
    <x v="614"/>
    <x v="9"/>
    <x v="12"/>
    <n v="26.5"/>
    <n v="106"/>
    <x v="25"/>
    <d v="2025-01-28T00:00:00"/>
    <x v="1"/>
    <x v="0"/>
    <x v="4"/>
    <x v="0"/>
    <x v="3"/>
    <x v="1"/>
    <x v="4"/>
    <x v="1"/>
  </r>
  <r>
    <x v="615"/>
    <x v="0"/>
    <x v="1"/>
    <n v="34.6"/>
    <n v="69.2"/>
    <x v="25"/>
    <d v="2025-01-27T00:00:00"/>
    <x v="1"/>
    <x v="4"/>
    <x v="1"/>
    <x v="0"/>
    <x v="3"/>
    <x v="3"/>
    <x v="4"/>
    <x v="1"/>
  </r>
  <r>
    <x v="616"/>
    <x v="8"/>
    <x v="1"/>
    <n v="58.2"/>
    <n v="116.4"/>
    <x v="25"/>
    <d v="2025-01-27T00:00:00"/>
    <x v="1"/>
    <x v="2"/>
    <x v="2"/>
    <x v="0"/>
    <x v="3"/>
    <x v="3"/>
    <x v="4"/>
    <x v="1"/>
  </r>
  <r>
    <x v="617"/>
    <x v="7"/>
    <x v="0"/>
    <n v="30.2"/>
    <n v="30.2"/>
    <x v="26"/>
    <d v="2025-01-28T00:00:00"/>
    <x v="2"/>
    <x v="2"/>
    <x v="1"/>
    <x v="0"/>
    <x v="3"/>
    <x v="3"/>
    <x v="4"/>
    <x v="2"/>
  </r>
  <r>
    <x v="618"/>
    <x v="1"/>
    <x v="7"/>
    <n v="53.2"/>
    <n v="532"/>
    <x v="26"/>
    <d v="2025-01-28T00:00:00"/>
    <x v="1"/>
    <x v="0"/>
    <x v="2"/>
    <x v="0"/>
    <x v="5"/>
    <x v="3"/>
    <x v="4"/>
    <x v="1"/>
  </r>
  <r>
    <x v="619"/>
    <x v="12"/>
    <x v="13"/>
    <n v="51.1"/>
    <n v="306.60000000000002"/>
    <x v="26"/>
    <d v="2025-01-27T00:00:00"/>
    <x v="1"/>
    <x v="1"/>
    <x v="2"/>
    <x v="0"/>
    <x v="5"/>
    <x v="7"/>
    <x v="4"/>
    <x v="1"/>
  </r>
  <r>
    <x v="620"/>
    <x v="1"/>
    <x v="0"/>
    <n v="105.4"/>
    <n v="105.4"/>
    <x v="26"/>
    <d v="2025-01-31T00:00:00"/>
    <x v="2"/>
    <x v="1"/>
    <x v="2"/>
    <x v="0"/>
    <x v="23"/>
    <x v="5"/>
    <x v="4"/>
    <x v="2"/>
  </r>
  <r>
    <x v="621"/>
    <x v="7"/>
    <x v="0"/>
    <n v="57.7"/>
    <n v="57.7"/>
    <x v="26"/>
    <d v="2025-01-27T00:00:00"/>
    <x v="1"/>
    <x v="0"/>
    <x v="4"/>
    <x v="0"/>
    <x v="8"/>
    <x v="7"/>
    <x v="4"/>
    <x v="1"/>
  </r>
  <r>
    <x v="622"/>
    <x v="15"/>
    <x v="1"/>
    <n v="72.400000000000006"/>
    <n v="144.80000000000001"/>
    <x v="26"/>
    <d v="2025-02-01T00:00:00"/>
    <x v="2"/>
    <x v="0"/>
    <x v="0"/>
    <x v="0"/>
    <x v="17"/>
    <x v="0"/>
    <x v="4"/>
    <x v="2"/>
  </r>
  <r>
    <x v="623"/>
    <x v="6"/>
    <x v="1"/>
    <n v="62.5"/>
    <n v="125"/>
    <x v="26"/>
    <d v="2025-01-28T00:00:00"/>
    <x v="0"/>
    <x v="0"/>
    <x v="2"/>
    <x v="0"/>
    <x v="11"/>
    <x v="3"/>
    <x v="4"/>
    <x v="0"/>
  </r>
  <r>
    <x v="624"/>
    <x v="0"/>
    <x v="32"/>
    <n v="11.6"/>
    <n v="255.2"/>
    <x v="26"/>
    <d v="2025-01-29T00:00:00"/>
    <x v="2"/>
    <x v="3"/>
    <x v="2"/>
    <x v="0"/>
    <x v="18"/>
    <x v="1"/>
    <x v="4"/>
    <x v="2"/>
  </r>
  <r>
    <x v="625"/>
    <x v="10"/>
    <x v="7"/>
    <n v="39.6"/>
    <n v="396"/>
    <x v="26"/>
    <d v="2025-01-29T00:00:00"/>
    <x v="2"/>
    <x v="2"/>
    <x v="2"/>
    <x v="0"/>
    <x v="18"/>
    <x v="1"/>
    <x v="4"/>
    <x v="2"/>
  </r>
  <r>
    <x v="626"/>
    <x v="8"/>
    <x v="1"/>
    <n v="40.1"/>
    <n v="80.2"/>
    <x v="26"/>
    <d v="2025-01-28T00:00:00"/>
    <x v="2"/>
    <x v="2"/>
    <x v="0"/>
    <x v="0"/>
    <x v="18"/>
    <x v="3"/>
    <x v="4"/>
    <x v="2"/>
  </r>
  <r>
    <x v="627"/>
    <x v="8"/>
    <x v="2"/>
    <n v="18.600000000000001"/>
    <n v="55.800000000000004"/>
    <x v="26"/>
    <d v="2025-01-28T00:00:00"/>
    <x v="2"/>
    <x v="2"/>
    <x v="0"/>
    <x v="0"/>
    <x v="21"/>
    <x v="3"/>
    <x v="4"/>
    <x v="2"/>
  </r>
  <r>
    <x v="628"/>
    <x v="4"/>
    <x v="0"/>
    <n v="58.8"/>
    <n v="58.8"/>
    <x v="26"/>
    <d v="2025-01-29T00:00:00"/>
    <x v="2"/>
    <x v="0"/>
    <x v="1"/>
    <x v="0"/>
    <x v="21"/>
    <x v="1"/>
    <x v="4"/>
    <x v="2"/>
  </r>
  <r>
    <x v="629"/>
    <x v="8"/>
    <x v="1"/>
    <n v="22.1"/>
    <n v="44.2"/>
    <x v="26"/>
    <d v="2025-01-30T00:00:00"/>
    <x v="1"/>
    <x v="1"/>
    <x v="2"/>
    <x v="0"/>
    <x v="21"/>
    <x v="2"/>
    <x v="4"/>
    <x v="1"/>
  </r>
  <r>
    <x v="630"/>
    <x v="2"/>
    <x v="0"/>
    <n v="114.9"/>
    <n v="114.9"/>
    <x v="27"/>
    <d v="2025-01-29T00:00:00"/>
    <x v="2"/>
    <x v="1"/>
    <x v="1"/>
    <x v="0"/>
    <x v="22"/>
    <x v="3"/>
    <x v="4"/>
    <x v="2"/>
  </r>
  <r>
    <x v="631"/>
    <x v="9"/>
    <x v="9"/>
    <n v="75.8"/>
    <n v="379"/>
    <x v="27"/>
    <d v="2025-01-29T00:00:00"/>
    <x v="1"/>
    <x v="0"/>
    <x v="2"/>
    <x v="0"/>
    <x v="3"/>
    <x v="3"/>
    <x v="4"/>
    <x v="1"/>
  </r>
  <r>
    <x v="632"/>
    <x v="14"/>
    <x v="9"/>
    <n v="20.6"/>
    <n v="103"/>
    <x v="27"/>
    <d v="2025-01-29T00:00:00"/>
    <x v="1"/>
    <x v="2"/>
    <x v="2"/>
    <x v="0"/>
    <x v="3"/>
    <x v="3"/>
    <x v="4"/>
    <x v="1"/>
  </r>
  <r>
    <x v="633"/>
    <x v="17"/>
    <x v="2"/>
    <n v="67.900000000000006"/>
    <n v="203.70000000000002"/>
    <x v="27"/>
    <d v="2025-01-29T00:00:00"/>
    <x v="2"/>
    <x v="1"/>
    <x v="1"/>
    <x v="0"/>
    <x v="3"/>
    <x v="3"/>
    <x v="4"/>
    <x v="2"/>
  </r>
  <r>
    <x v="634"/>
    <x v="0"/>
    <x v="9"/>
    <n v="27"/>
    <n v="135"/>
    <x v="27"/>
    <d v="2025-02-04T00:00:00"/>
    <x v="2"/>
    <x v="0"/>
    <x v="2"/>
    <x v="0"/>
    <x v="3"/>
    <x v="6"/>
    <x v="4"/>
    <x v="2"/>
  </r>
  <r>
    <x v="635"/>
    <x v="13"/>
    <x v="0"/>
    <n v="50.6"/>
    <n v="50.6"/>
    <x v="27"/>
    <d v="2025-01-28T00:00:00"/>
    <x v="1"/>
    <x v="0"/>
    <x v="1"/>
    <x v="0"/>
    <x v="3"/>
    <x v="7"/>
    <x v="4"/>
    <x v="1"/>
  </r>
  <r>
    <x v="636"/>
    <x v="4"/>
    <x v="9"/>
    <n v="22.1"/>
    <n v="110.5"/>
    <x v="27"/>
    <d v="2025-02-02T00:00:00"/>
    <x v="1"/>
    <x v="0"/>
    <x v="0"/>
    <x v="0"/>
    <x v="3"/>
    <x v="0"/>
    <x v="4"/>
    <x v="1"/>
  </r>
  <r>
    <x v="637"/>
    <x v="8"/>
    <x v="2"/>
    <n v="42.9"/>
    <n v="128.69999999999999"/>
    <x v="27"/>
    <d v="2025-01-30T00:00:00"/>
    <x v="2"/>
    <x v="0"/>
    <x v="0"/>
    <x v="0"/>
    <x v="3"/>
    <x v="1"/>
    <x v="4"/>
    <x v="2"/>
  </r>
  <r>
    <x v="638"/>
    <x v="1"/>
    <x v="5"/>
    <n v="62.4"/>
    <n v="686.4"/>
    <x v="27"/>
    <d v="2025-01-30T00:00:00"/>
    <x v="2"/>
    <x v="2"/>
    <x v="0"/>
    <x v="0"/>
    <x v="3"/>
    <x v="1"/>
    <x v="4"/>
    <x v="2"/>
  </r>
  <r>
    <x v="639"/>
    <x v="13"/>
    <x v="11"/>
    <n v="36.4"/>
    <n v="327.59999999999997"/>
    <x v="27"/>
    <d v="2025-01-30T00:00:00"/>
    <x v="2"/>
    <x v="0"/>
    <x v="2"/>
    <x v="0"/>
    <x v="3"/>
    <x v="1"/>
    <x v="4"/>
    <x v="2"/>
  </r>
  <r>
    <x v="640"/>
    <x v="0"/>
    <x v="1"/>
    <n v="22.5"/>
    <n v="45"/>
    <x v="27"/>
    <d v="2025-01-31T00:00:00"/>
    <x v="1"/>
    <x v="0"/>
    <x v="0"/>
    <x v="0"/>
    <x v="3"/>
    <x v="2"/>
    <x v="4"/>
    <x v="1"/>
  </r>
  <r>
    <x v="641"/>
    <x v="6"/>
    <x v="12"/>
    <n v="70.8"/>
    <n v="283.2"/>
    <x v="27"/>
    <d v="2025-01-30T00:00:00"/>
    <x v="2"/>
    <x v="4"/>
    <x v="0"/>
    <x v="0"/>
    <x v="3"/>
    <x v="1"/>
    <x v="4"/>
    <x v="2"/>
  </r>
  <r>
    <x v="642"/>
    <x v="6"/>
    <x v="9"/>
    <n v="56.6"/>
    <n v="283"/>
    <x v="27"/>
    <d v="2025-01-30T00:00:00"/>
    <x v="1"/>
    <x v="0"/>
    <x v="1"/>
    <x v="0"/>
    <x v="4"/>
    <x v="1"/>
    <x v="4"/>
    <x v="1"/>
  </r>
  <r>
    <x v="643"/>
    <x v="6"/>
    <x v="1"/>
    <n v="47.9"/>
    <n v="95.8"/>
    <x v="27"/>
    <d v="2025-01-29T00:00:00"/>
    <x v="2"/>
    <x v="0"/>
    <x v="0"/>
    <x v="0"/>
    <x v="6"/>
    <x v="3"/>
    <x v="4"/>
    <x v="2"/>
  </r>
  <r>
    <x v="644"/>
    <x v="6"/>
    <x v="8"/>
    <n v="78.400000000000006"/>
    <n v="627.20000000000005"/>
    <x v="27"/>
    <d v="2025-01-30T00:00:00"/>
    <x v="2"/>
    <x v="1"/>
    <x v="0"/>
    <x v="0"/>
    <x v="6"/>
    <x v="1"/>
    <x v="4"/>
    <x v="2"/>
  </r>
  <r>
    <x v="645"/>
    <x v="2"/>
    <x v="21"/>
    <n v="122.1"/>
    <n v="1709.3999999999999"/>
    <x v="27"/>
    <d v="2025-02-02T00:00:00"/>
    <x v="2"/>
    <x v="0"/>
    <x v="2"/>
    <x v="0"/>
    <x v="6"/>
    <x v="0"/>
    <x v="4"/>
    <x v="2"/>
  </r>
  <r>
    <x v="646"/>
    <x v="2"/>
    <x v="1"/>
    <n v="83.7"/>
    <n v="167.4"/>
    <x v="28"/>
    <d v="2025-01-29T00:00:00"/>
    <x v="0"/>
    <x v="1"/>
    <x v="2"/>
    <x v="0"/>
    <x v="7"/>
    <x v="7"/>
    <x v="4"/>
    <x v="0"/>
  </r>
  <r>
    <x v="647"/>
    <x v="3"/>
    <x v="12"/>
    <n v="97.9"/>
    <n v="391.6"/>
    <x v="28"/>
    <d v="2025-02-02T00:00:00"/>
    <x v="2"/>
    <x v="3"/>
    <x v="2"/>
    <x v="0"/>
    <x v="7"/>
    <x v="5"/>
    <x v="4"/>
    <x v="2"/>
  </r>
  <r>
    <x v="648"/>
    <x v="14"/>
    <x v="0"/>
    <n v="15"/>
    <n v="15"/>
    <x v="28"/>
    <d v="2025-02-03T00:00:00"/>
    <x v="2"/>
    <x v="3"/>
    <x v="0"/>
    <x v="0"/>
    <x v="8"/>
    <x v="0"/>
    <x v="4"/>
    <x v="2"/>
  </r>
  <r>
    <x v="649"/>
    <x v="12"/>
    <x v="2"/>
    <n v="94.6"/>
    <n v="283.79999999999995"/>
    <x v="28"/>
    <d v="2025-01-30T00:00:00"/>
    <x v="1"/>
    <x v="2"/>
    <x v="1"/>
    <x v="0"/>
    <x v="8"/>
    <x v="3"/>
    <x v="4"/>
    <x v="1"/>
  </r>
  <r>
    <x v="650"/>
    <x v="0"/>
    <x v="13"/>
    <n v="19.7"/>
    <n v="118.19999999999999"/>
    <x v="28"/>
    <d v="2025-02-09T00:00:00"/>
    <x v="2"/>
    <x v="0"/>
    <x v="2"/>
    <x v="0"/>
    <x v="8"/>
    <x v="11"/>
    <x v="4"/>
    <x v="2"/>
  </r>
  <r>
    <x v="651"/>
    <x v="7"/>
    <x v="0"/>
    <n v="46.7"/>
    <n v="46.7"/>
    <x v="28"/>
    <d v="2025-02-01T00:00:00"/>
    <x v="2"/>
    <x v="2"/>
    <x v="0"/>
    <x v="0"/>
    <x v="17"/>
    <x v="2"/>
    <x v="4"/>
    <x v="2"/>
  </r>
  <r>
    <x v="652"/>
    <x v="1"/>
    <x v="12"/>
    <n v="43"/>
    <n v="172"/>
    <x v="28"/>
    <d v="2025-01-30T00:00:00"/>
    <x v="1"/>
    <x v="2"/>
    <x v="2"/>
    <x v="0"/>
    <x v="17"/>
    <x v="3"/>
    <x v="4"/>
    <x v="1"/>
  </r>
  <r>
    <x v="653"/>
    <x v="6"/>
    <x v="2"/>
    <n v="68.2"/>
    <n v="204.60000000000002"/>
    <x v="28"/>
    <d v="2025-02-04T00:00:00"/>
    <x v="2"/>
    <x v="0"/>
    <x v="0"/>
    <x v="0"/>
    <x v="9"/>
    <x v="4"/>
    <x v="4"/>
    <x v="2"/>
  </r>
  <r>
    <x v="654"/>
    <x v="10"/>
    <x v="7"/>
    <n v="24.3"/>
    <n v="243"/>
    <x v="28"/>
    <d v="2025-01-30T00:00:00"/>
    <x v="1"/>
    <x v="0"/>
    <x v="2"/>
    <x v="0"/>
    <x v="10"/>
    <x v="3"/>
    <x v="4"/>
    <x v="1"/>
  </r>
  <r>
    <x v="655"/>
    <x v="7"/>
    <x v="1"/>
    <n v="86.8"/>
    <n v="173.6"/>
    <x v="28"/>
    <d v="2025-02-02T00:00:00"/>
    <x v="2"/>
    <x v="4"/>
    <x v="2"/>
    <x v="0"/>
    <x v="11"/>
    <x v="5"/>
    <x v="4"/>
    <x v="2"/>
  </r>
  <r>
    <x v="656"/>
    <x v="0"/>
    <x v="1"/>
    <n v="15.8"/>
    <n v="31.6"/>
    <x v="28"/>
    <d v="2025-01-31T00:00:00"/>
    <x v="1"/>
    <x v="1"/>
    <x v="0"/>
    <x v="0"/>
    <x v="11"/>
    <x v="1"/>
    <x v="4"/>
    <x v="1"/>
  </r>
  <r>
    <x v="657"/>
    <x v="2"/>
    <x v="12"/>
    <n v="61.6"/>
    <n v="246.4"/>
    <x v="28"/>
    <d v="2025-01-30T00:00:00"/>
    <x v="1"/>
    <x v="2"/>
    <x v="0"/>
    <x v="0"/>
    <x v="11"/>
    <x v="3"/>
    <x v="4"/>
    <x v="1"/>
  </r>
  <r>
    <x v="658"/>
    <x v="6"/>
    <x v="2"/>
    <n v="48.7"/>
    <n v="146.10000000000002"/>
    <x v="28"/>
    <d v="2025-02-04T00:00:00"/>
    <x v="2"/>
    <x v="1"/>
    <x v="2"/>
    <x v="0"/>
    <x v="45"/>
    <x v="4"/>
    <x v="4"/>
    <x v="2"/>
  </r>
  <r>
    <x v="659"/>
    <x v="8"/>
    <x v="12"/>
    <n v="24.3"/>
    <n v="97.2"/>
    <x v="28"/>
    <d v="2025-01-31T00:00:00"/>
    <x v="2"/>
    <x v="1"/>
    <x v="2"/>
    <x v="0"/>
    <x v="21"/>
    <x v="1"/>
    <x v="4"/>
    <x v="2"/>
  </r>
  <r>
    <x v="660"/>
    <x v="2"/>
    <x v="1"/>
    <n v="130.69999999999999"/>
    <n v="261.39999999999998"/>
    <x v="28"/>
    <d v="2025-01-30T00:00:00"/>
    <x v="2"/>
    <x v="2"/>
    <x v="0"/>
    <x v="0"/>
    <x v="44"/>
    <x v="3"/>
    <x v="4"/>
    <x v="2"/>
  </r>
  <r>
    <x v="661"/>
    <x v="10"/>
    <x v="0"/>
    <n v="26"/>
    <n v="26"/>
    <x v="28"/>
    <d v="2025-01-31T00:00:00"/>
    <x v="1"/>
    <x v="0"/>
    <x v="0"/>
    <x v="0"/>
    <x v="3"/>
    <x v="1"/>
    <x v="4"/>
    <x v="1"/>
  </r>
  <r>
    <x v="662"/>
    <x v="2"/>
    <x v="9"/>
    <n v="94.4"/>
    <n v="472"/>
    <x v="28"/>
    <d v="2025-01-30T00:00:00"/>
    <x v="2"/>
    <x v="0"/>
    <x v="0"/>
    <x v="0"/>
    <x v="3"/>
    <x v="3"/>
    <x v="4"/>
    <x v="2"/>
  </r>
  <r>
    <x v="663"/>
    <x v="0"/>
    <x v="13"/>
    <n v="23.7"/>
    <n v="142.19999999999999"/>
    <x v="28"/>
    <d v="2025-01-31T00:00:00"/>
    <x v="1"/>
    <x v="2"/>
    <x v="2"/>
    <x v="0"/>
    <x v="3"/>
    <x v="1"/>
    <x v="4"/>
    <x v="1"/>
  </r>
  <r>
    <x v="664"/>
    <x v="9"/>
    <x v="4"/>
    <n v="37.4"/>
    <n v="448.79999999999995"/>
    <x v="28"/>
    <d v="2025-01-31T00:00:00"/>
    <x v="1"/>
    <x v="2"/>
    <x v="0"/>
    <x v="0"/>
    <x v="3"/>
    <x v="1"/>
    <x v="4"/>
    <x v="1"/>
  </r>
  <r>
    <x v="665"/>
    <x v="1"/>
    <x v="34"/>
    <n v="55.2"/>
    <n v="1987.2"/>
    <x v="28"/>
    <d v="2025-01-29T00:00:00"/>
    <x v="2"/>
    <x v="3"/>
    <x v="1"/>
    <x v="0"/>
    <x v="3"/>
    <x v="7"/>
    <x v="4"/>
    <x v="2"/>
  </r>
  <r>
    <x v="666"/>
    <x v="2"/>
    <x v="11"/>
    <n v="57.1"/>
    <n v="513.9"/>
    <x v="28"/>
    <d v="2025-01-31T00:00:00"/>
    <x v="1"/>
    <x v="0"/>
    <x v="2"/>
    <x v="0"/>
    <x v="3"/>
    <x v="1"/>
    <x v="4"/>
    <x v="1"/>
  </r>
  <r>
    <x v="667"/>
    <x v="12"/>
    <x v="0"/>
    <n v="55.3"/>
    <n v="55.3"/>
    <x v="28"/>
    <d v="2025-01-30T00:00:00"/>
    <x v="2"/>
    <x v="2"/>
    <x v="2"/>
    <x v="0"/>
    <x v="3"/>
    <x v="3"/>
    <x v="4"/>
    <x v="2"/>
  </r>
  <r>
    <x v="668"/>
    <x v="15"/>
    <x v="3"/>
    <n v="23.9"/>
    <n v="167.29999999999998"/>
    <x v="28"/>
    <d v="2025-01-30T00:00:00"/>
    <x v="2"/>
    <x v="4"/>
    <x v="1"/>
    <x v="0"/>
    <x v="3"/>
    <x v="3"/>
    <x v="4"/>
    <x v="2"/>
  </r>
  <r>
    <x v="669"/>
    <x v="0"/>
    <x v="0"/>
    <n v="34.1"/>
    <n v="34.1"/>
    <x v="28"/>
    <d v="2025-02-05T00:00:00"/>
    <x v="2"/>
    <x v="2"/>
    <x v="0"/>
    <x v="0"/>
    <x v="3"/>
    <x v="6"/>
    <x v="4"/>
    <x v="2"/>
  </r>
  <r>
    <x v="670"/>
    <x v="12"/>
    <x v="12"/>
    <n v="38.5"/>
    <n v="154"/>
    <x v="28"/>
    <d v="2025-02-09T00:00:00"/>
    <x v="2"/>
    <x v="0"/>
    <x v="0"/>
    <x v="0"/>
    <x v="3"/>
    <x v="11"/>
    <x v="4"/>
    <x v="2"/>
  </r>
  <r>
    <x v="671"/>
    <x v="7"/>
    <x v="1"/>
    <n v="105"/>
    <n v="210"/>
    <x v="28"/>
    <d v="2025-02-04T00:00:00"/>
    <x v="2"/>
    <x v="0"/>
    <x v="2"/>
    <x v="0"/>
    <x v="3"/>
    <x v="4"/>
    <x v="4"/>
    <x v="2"/>
  </r>
  <r>
    <x v="672"/>
    <x v="8"/>
    <x v="9"/>
    <n v="45.2"/>
    <n v="226"/>
    <x v="28"/>
    <d v="2025-01-31T00:00:00"/>
    <x v="2"/>
    <x v="0"/>
    <x v="2"/>
    <x v="0"/>
    <x v="3"/>
    <x v="1"/>
    <x v="4"/>
    <x v="2"/>
  </r>
  <r>
    <x v="673"/>
    <x v="17"/>
    <x v="2"/>
    <n v="24.8"/>
    <n v="74.400000000000006"/>
    <x v="28"/>
    <d v="2025-01-29T00:00:00"/>
    <x v="0"/>
    <x v="0"/>
    <x v="1"/>
    <x v="0"/>
    <x v="3"/>
    <x v="7"/>
    <x v="4"/>
    <x v="0"/>
  </r>
  <r>
    <x v="674"/>
    <x v="11"/>
    <x v="12"/>
    <n v="43.8"/>
    <n v="175.2"/>
    <x v="28"/>
    <d v="2025-02-05T00:00:00"/>
    <x v="2"/>
    <x v="1"/>
    <x v="2"/>
    <x v="0"/>
    <x v="6"/>
    <x v="6"/>
    <x v="4"/>
    <x v="2"/>
  </r>
  <r>
    <x v="675"/>
    <x v="1"/>
    <x v="0"/>
    <n v="75"/>
    <n v="75"/>
    <x v="28"/>
    <d v="2025-01-31T00:00:00"/>
    <x v="2"/>
    <x v="4"/>
    <x v="1"/>
    <x v="0"/>
    <x v="6"/>
    <x v="1"/>
    <x v="4"/>
    <x v="2"/>
  </r>
  <r>
    <x v="676"/>
    <x v="2"/>
    <x v="0"/>
    <n v="169.9"/>
    <n v="169.9"/>
    <x v="28"/>
    <d v="2025-01-30T00:00:00"/>
    <x v="1"/>
    <x v="2"/>
    <x v="0"/>
    <x v="0"/>
    <x v="6"/>
    <x v="3"/>
    <x v="4"/>
    <x v="1"/>
  </r>
  <r>
    <x v="677"/>
    <x v="9"/>
    <x v="1"/>
    <n v="72.2"/>
    <n v="144.4"/>
    <x v="28"/>
    <d v="2025-01-31T00:00:00"/>
    <x v="2"/>
    <x v="4"/>
    <x v="1"/>
    <x v="0"/>
    <x v="6"/>
    <x v="1"/>
    <x v="4"/>
    <x v="2"/>
  </r>
  <r>
    <x v="678"/>
    <x v="0"/>
    <x v="0"/>
    <n v="20"/>
    <n v="20"/>
    <x v="29"/>
    <d v="2025-02-02T00:00:00"/>
    <x v="2"/>
    <x v="2"/>
    <x v="1"/>
    <x v="0"/>
    <x v="7"/>
    <x v="2"/>
    <x v="4"/>
    <x v="2"/>
  </r>
  <r>
    <x v="679"/>
    <x v="9"/>
    <x v="1"/>
    <n v="40.799999999999997"/>
    <n v="81.599999999999994"/>
    <x v="29"/>
    <d v="2025-02-01T00:00:00"/>
    <x v="2"/>
    <x v="3"/>
    <x v="2"/>
    <x v="0"/>
    <x v="8"/>
    <x v="1"/>
    <x v="4"/>
    <x v="2"/>
  </r>
  <r>
    <x v="680"/>
    <x v="10"/>
    <x v="12"/>
    <n v="58"/>
    <n v="232"/>
    <x v="29"/>
    <d v="2025-02-03T00:00:00"/>
    <x v="2"/>
    <x v="0"/>
    <x v="0"/>
    <x v="0"/>
    <x v="8"/>
    <x v="5"/>
    <x v="4"/>
    <x v="2"/>
  </r>
  <r>
    <x v="681"/>
    <x v="12"/>
    <x v="1"/>
    <n v="43.1"/>
    <n v="86.2"/>
    <x v="29"/>
    <d v="2025-01-31T00:00:00"/>
    <x v="2"/>
    <x v="1"/>
    <x v="2"/>
    <x v="0"/>
    <x v="8"/>
    <x v="3"/>
    <x v="4"/>
    <x v="2"/>
  </r>
  <r>
    <x v="682"/>
    <x v="6"/>
    <x v="11"/>
    <n v="74.7"/>
    <n v="672.30000000000007"/>
    <x v="29"/>
    <d v="2025-02-01T00:00:00"/>
    <x v="1"/>
    <x v="0"/>
    <x v="2"/>
    <x v="0"/>
    <x v="8"/>
    <x v="1"/>
    <x v="4"/>
    <x v="1"/>
  </r>
  <r>
    <x v="683"/>
    <x v="6"/>
    <x v="0"/>
    <n v="128.19999999999999"/>
    <n v="128.19999999999999"/>
    <x v="29"/>
    <d v="2025-01-30T00:00:00"/>
    <x v="1"/>
    <x v="1"/>
    <x v="0"/>
    <x v="0"/>
    <x v="8"/>
    <x v="7"/>
    <x v="4"/>
    <x v="1"/>
  </r>
  <r>
    <x v="684"/>
    <x v="14"/>
    <x v="12"/>
    <n v="26.7"/>
    <n v="106.8"/>
    <x v="29"/>
    <d v="2025-01-31T00:00:00"/>
    <x v="1"/>
    <x v="1"/>
    <x v="0"/>
    <x v="0"/>
    <x v="8"/>
    <x v="3"/>
    <x v="4"/>
    <x v="1"/>
  </r>
  <r>
    <x v="685"/>
    <x v="17"/>
    <x v="13"/>
    <n v="31.5"/>
    <n v="189"/>
    <x v="29"/>
    <d v="2025-01-31T00:00:00"/>
    <x v="2"/>
    <x v="2"/>
    <x v="0"/>
    <x v="0"/>
    <x v="17"/>
    <x v="3"/>
    <x v="4"/>
    <x v="2"/>
  </r>
  <r>
    <x v="686"/>
    <x v="3"/>
    <x v="3"/>
    <n v="64.7"/>
    <n v="452.90000000000003"/>
    <x v="29"/>
    <d v="2025-01-31T00:00:00"/>
    <x v="2"/>
    <x v="0"/>
    <x v="2"/>
    <x v="0"/>
    <x v="9"/>
    <x v="3"/>
    <x v="4"/>
    <x v="2"/>
  </r>
  <r>
    <x v="687"/>
    <x v="5"/>
    <x v="1"/>
    <n v="55.6"/>
    <n v="111.2"/>
    <x v="29"/>
    <d v="2025-02-02T00:00:00"/>
    <x v="2"/>
    <x v="3"/>
    <x v="0"/>
    <x v="0"/>
    <x v="11"/>
    <x v="2"/>
    <x v="4"/>
    <x v="2"/>
  </r>
  <r>
    <x v="688"/>
    <x v="3"/>
    <x v="1"/>
    <n v="36.200000000000003"/>
    <n v="72.400000000000006"/>
    <x v="29"/>
    <d v="2025-01-31T00:00:00"/>
    <x v="2"/>
    <x v="3"/>
    <x v="0"/>
    <x v="0"/>
    <x v="11"/>
    <x v="3"/>
    <x v="4"/>
    <x v="2"/>
  </r>
  <r>
    <x v="689"/>
    <x v="0"/>
    <x v="0"/>
    <n v="26.6"/>
    <n v="26.6"/>
    <x v="29"/>
    <d v="2025-01-31T00:00:00"/>
    <x v="0"/>
    <x v="1"/>
    <x v="1"/>
    <x v="0"/>
    <x v="19"/>
    <x v="3"/>
    <x v="4"/>
    <x v="0"/>
  </r>
  <r>
    <x v="690"/>
    <x v="10"/>
    <x v="12"/>
    <n v="31.5"/>
    <n v="126"/>
    <x v="29"/>
    <d v="2025-02-01T00:00:00"/>
    <x v="1"/>
    <x v="0"/>
    <x v="0"/>
    <x v="0"/>
    <x v="31"/>
    <x v="1"/>
    <x v="4"/>
    <x v="1"/>
  </r>
  <r>
    <x v="691"/>
    <x v="10"/>
    <x v="0"/>
    <n v="27"/>
    <n v="27"/>
    <x v="29"/>
    <d v="2025-02-01T00:00:00"/>
    <x v="2"/>
    <x v="1"/>
    <x v="2"/>
    <x v="0"/>
    <x v="13"/>
    <x v="1"/>
    <x v="4"/>
    <x v="2"/>
  </r>
  <r>
    <x v="692"/>
    <x v="4"/>
    <x v="0"/>
    <n v="32"/>
    <n v="32"/>
    <x v="29"/>
    <d v="2025-02-02T00:00:00"/>
    <x v="1"/>
    <x v="3"/>
    <x v="0"/>
    <x v="0"/>
    <x v="21"/>
    <x v="2"/>
    <x v="4"/>
    <x v="1"/>
  </r>
  <r>
    <x v="693"/>
    <x v="1"/>
    <x v="2"/>
    <n v="48.1"/>
    <n v="144.30000000000001"/>
    <x v="29"/>
    <d v="2025-02-01T00:00:00"/>
    <x v="1"/>
    <x v="2"/>
    <x v="1"/>
    <x v="0"/>
    <x v="1"/>
    <x v="1"/>
    <x v="4"/>
    <x v="1"/>
  </r>
  <r>
    <x v="694"/>
    <x v="9"/>
    <x v="1"/>
    <n v="43.4"/>
    <n v="86.8"/>
    <x v="29"/>
    <d v="2025-01-31T00:00:00"/>
    <x v="1"/>
    <x v="1"/>
    <x v="1"/>
    <x v="0"/>
    <x v="22"/>
    <x v="3"/>
    <x v="4"/>
    <x v="1"/>
  </r>
  <r>
    <x v="695"/>
    <x v="6"/>
    <x v="1"/>
    <n v="42.6"/>
    <n v="85.2"/>
    <x v="29"/>
    <d v="2025-02-02T00:00:00"/>
    <x v="2"/>
    <x v="3"/>
    <x v="0"/>
    <x v="0"/>
    <x v="22"/>
    <x v="2"/>
    <x v="4"/>
    <x v="2"/>
  </r>
  <r>
    <x v="696"/>
    <x v="8"/>
    <x v="1"/>
    <n v="15.9"/>
    <n v="31.8"/>
    <x v="29"/>
    <d v="2025-01-31T00:00:00"/>
    <x v="2"/>
    <x v="0"/>
    <x v="0"/>
    <x v="0"/>
    <x v="34"/>
    <x v="3"/>
    <x v="4"/>
    <x v="2"/>
  </r>
  <r>
    <x v="697"/>
    <x v="9"/>
    <x v="1"/>
    <n v="63.2"/>
    <n v="126.4"/>
    <x v="29"/>
    <d v="2025-01-31T00:00:00"/>
    <x v="1"/>
    <x v="1"/>
    <x v="0"/>
    <x v="0"/>
    <x v="3"/>
    <x v="3"/>
    <x v="4"/>
    <x v="1"/>
  </r>
  <r>
    <x v="698"/>
    <x v="7"/>
    <x v="12"/>
    <n v="64.8"/>
    <n v="259.2"/>
    <x v="29"/>
    <d v="2025-02-01T00:00:00"/>
    <x v="0"/>
    <x v="4"/>
    <x v="1"/>
    <x v="0"/>
    <x v="3"/>
    <x v="1"/>
    <x v="4"/>
    <x v="0"/>
  </r>
  <r>
    <x v="699"/>
    <x v="7"/>
    <x v="2"/>
    <n v="79.8"/>
    <n v="239.39999999999998"/>
    <x v="29"/>
    <d v="2025-01-31T00:00:00"/>
    <x v="1"/>
    <x v="0"/>
    <x v="0"/>
    <x v="0"/>
    <x v="3"/>
    <x v="3"/>
    <x v="4"/>
    <x v="1"/>
  </r>
  <r>
    <x v="700"/>
    <x v="9"/>
    <x v="0"/>
    <n v="54.4"/>
    <n v="54.4"/>
    <x v="29"/>
    <d v="2025-02-01T00:00:00"/>
    <x v="2"/>
    <x v="4"/>
    <x v="2"/>
    <x v="0"/>
    <x v="3"/>
    <x v="1"/>
    <x v="4"/>
    <x v="2"/>
  </r>
  <r>
    <x v="701"/>
    <x v="6"/>
    <x v="0"/>
    <n v="87.3"/>
    <n v="87.3"/>
    <x v="29"/>
    <d v="2025-01-31T00:00:00"/>
    <x v="1"/>
    <x v="1"/>
    <x v="0"/>
    <x v="0"/>
    <x v="3"/>
    <x v="3"/>
    <x v="4"/>
    <x v="1"/>
  </r>
  <r>
    <x v="702"/>
    <x v="8"/>
    <x v="12"/>
    <n v="32.4"/>
    <n v="129.6"/>
    <x v="29"/>
    <d v="2025-01-30T00:00:00"/>
    <x v="1"/>
    <x v="1"/>
    <x v="0"/>
    <x v="0"/>
    <x v="3"/>
    <x v="7"/>
    <x v="4"/>
    <x v="1"/>
  </r>
  <r>
    <x v="703"/>
    <x v="2"/>
    <x v="0"/>
    <n v="177.4"/>
    <n v="177.4"/>
    <x v="29"/>
    <d v="2025-02-03T00:00:00"/>
    <x v="1"/>
    <x v="0"/>
    <x v="2"/>
    <x v="0"/>
    <x v="3"/>
    <x v="5"/>
    <x v="4"/>
    <x v="1"/>
  </r>
  <r>
    <x v="704"/>
    <x v="7"/>
    <x v="1"/>
    <n v="70.099999999999994"/>
    <n v="140.19999999999999"/>
    <x v="29"/>
    <d v="2025-01-31T00:00:00"/>
    <x v="1"/>
    <x v="3"/>
    <x v="1"/>
    <x v="0"/>
    <x v="3"/>
    <x v="3"/>
    <x v="4"/>
    <x v="1"/>
  </r>
  <r>
    <x v="705"/>
    <x v="9"/>
    <x v="13"/>
    <n v="51.1"/>
    <n v="306.60000000000002"/>
    <x v="29"/>
    <d v="2025-01-31T00:00:00"/>
    <x v="2"/>
    <x v="0"/>
    <x v="0"/>
    <x v="0"/>
    <x v="3"/>
    <x v="3"/>
    <x v="4"/>
    <x v="2"/>
  </r>
  <r>
    <x v="706"/>
    <x v="2"/>
    <x v="9"/>
    <n v="79.900000000000006"/>
    <n v="399.5"/>
    <x v="29"/>
    <d v="2025-02-01T00:00:00"/>
    <x v="1"/>
    <x v="3"/>
    <x v="2"/>
    <x v="0"/>
    <x v="24"/>
    <x v="1"/>
    <x v="4"/>
    <x v="1"/>
  </r>
  <r>
    <x v="707"/>
    <x v="6"/>
    <x v="0"/>
    <n v="57.6"/>
    <n v="57.6"/>
    <x v="30"/>
    <d v="2025-02-05T00:00:00"/>
    <x v="1"/>
    <x v="0"/>
    <x v="2"/>
    <x v="0"/>
    <x v="49"/>
    <x v="0"/>
    <x v="4"/>
    <x v="1"/>
  </r>
  <r>
    <x v="708"/>
    <x v="8"/>
    <x v="7"/>
    <n v="59.7"/>
    <n v="597"/>
    <x v="30"/>
    <d v="2025-02-04T00:00:00"/>
    <x v="1"/>
    <x v="2"/>
    <x v="0"/>
    <x v="0"/>
    <x v="25"/>
    <x v="5"/>
    <x v="4"/>
    <x v="1"/>
  </r>
  <r>
    <x v="709"/>
    <x v="8"/>
    <x v="9"/>
    <n v="30"/>
    <n v="150"/>
    <x v="30"/>
    <d v="2025-02-02T00:00:00"/>
    <x v="1"/>
    <x v="1"/>
    <x v="0"/>
    <x v="0"/>
    <x v="6"/>
    <x v="1"/>
    <x v="4"/>
    <x v="1"/>
  </r>
  <r>
    <x v="710"/>
    <x v="10"/>
    <x v="1"/>
    <n v="69.2"/>
    <n v="138.4"/>
    <x v="30"/>
    <d v="2025-02-02T00:00:00"/>
    <x v="0"/>
    <x v="2"/>
    <x v="1"/>
    <x v="0"/>
    <x v="6"/>
    <x v="1"/>
    <x v="4"/>
    <x v="0"/>
  </r>
  <r>
    <x v="711"/>
    <x v="0"/>
    <x v="8"/>
    <n v="10.9"/>
    <n v="87.2"/>
    <x v="30"/>
    <d v="2025-02-01T00:00:00"/>
    <x v="2"/>
    <x v="0"/>
    <x v="2"/>
    <x v="0"/>
    <x v="6"/>
    <x v="3"/>
    <x v="4"/>
    <x v="2"/>
  </r>
  <r>
    <x v="712"/>
    <x v="16"/>
    <x v="1"/>
    <n v="48.6"/>
    <n v="97.2"/>
    <x v="30"/>
    <d v="2025-02-04T00:00:00"/>
    <x v="1"/>
    <x v="1"/>
    <x v="2"/>
    <x v="0"/>
    <x v="6"/>
    <x v="5"/>
    <x v="4"/>
    <x v="1"/>
  </r>
  <r>
    <x v="713"/>
    <x v="2"/>
    <x v="1"/>
    <n v="61.1"/>
    <n v="122.2"/>
    <x v="30"/>
    <d v="2025-02-03T00:00:00"/>
    <x v="2"/>
    <x v="1"/>
    <x v="2"/>
    <x v="0"/>
    <x v="7"/>
    <x v="2"/>
    <x v="4"/>
    <x v="2"/>
  </r>
  <r>
    <x v="714"/>
    <x v="8"/>
    <x v="1"/>
    <n v="23.2"/>
    <n v="46.4"/>
    <x v="30"/>
    <d v="2025-02-01T00:00:00"/>
    <x v="1"/>
    <x v="3"/>
    <x v="2"/>
    <x v="0"/>
    <x v="8"/>
    <x v="3"/>
    <x v="4"/>
    <x v="1"/>
  </r>
  <r>
    <x v="715"/>
    <x v="12"/>
    <x v="12"/>
    <n v="55.8"/>
    <n v="223.2"/>
    <x v="30"/>
    <d v="2025-02-01T00:00:00"/>
    <x v="1"/>
    <x v="0"/>
    <x v="0"/>
    <x v="0"/>
    <x v="8"/>
    <x v="3"/>
    <x v="4"/>
    <x v="1"/>
  </r>
  <r>
    <x v="716"/>
    <x v="9"/>
    <x v="12"/>
    <n v="24.8"/>
    <n v="99.2"/>
    <x v="30"/>
    <d v="2025-02-01T00:00:00"/>
    <x v="2"/>
    <x v="0"/>
    <x v="2"/>
    <x v="0"/>
    <x v="8"/>
    <x v="3"/>
    <x v="4"/>
    <x v="2"/>
  </r>
  <r>
    <x v="717"/>
    <x v="10"/>
    <x v="1"/>
    <n v="27.9"/>
    <n v="55.8"/>
    <x v="30"/>
    <d v="2025-01-31T00:00:00"/>
    <x v="1"/>
    <x v="2"/>
    <x v="2"/>
    <x v="0"/>
    <x v="8"/>
    <x v="7"/>
    <x v="4"/>
    <x v="1"/>
  </r>
  <r>
    <x v="718"/>
    <x v="10"/>
    <x v="13"/>
    <n v="51.1"/>
    <n v="306.60000000000002"/>
    <x v="30"/>
    <d v="2025-01-31T00:00:00"/>
    <x v="2"/>
    <x v="3"/>
    <x v="0"/>
    <x v="0"/>
    <x v="8"/>
    <x v="7"/>
    <x v="4"/>
    <x v="2"/>
  </r>
  <r>
    <x v="719"/>
    <x v="17"/>
    <x v="5"/>
    <n v="32.700000000000003"/>
    <n v="359.70000000000005"/>
    <x v="30"/>
    <d v="2025-02-01T00:00:00"/>
    <x v="1"/>
    <x v="4"/>
    <x v="2"/>
    <x v="0"/>
    <x v="17"/>
    <x v="3"/>
    <x v="4"/>
    <x v="1"/>
  </r>
  <r>
    <x v="720"/>
    <x v="8"/>
    <x v="12"/>
    <n v="22.5"/>
    <n v="90"/>
    <x v="30"/>
    <d v="2025-01-31T00:00:00"/>
    <x v="1"/>
    <x v="0"/>
    <x v="2"/>
    <x v="0"/>
    <x v="26"/>
    <x v="7"/>
    <x v="4"/>
    <x v="1"/>
  </r>
  <r>
    <x v="721"/>
    <x v="0"/>
    <x v="3"/>
    <n v="14.6"/>
    <n v="102.2"/>
    <x v="30"/>
    <d v="2025-02-01T00:00:00"/>
    <x v="2"/>
    <x v="2"/>
    <x v="0"/>
    <x v="0"/>
    <x v="41"/>
    <x v="3"/>
    <x v="4"/>
    <x v="2"/>
  </r>
  <r>
    <x v="722"/>
    <x v="5"/>
    <x v="2"/>
    <n v="32.5"/>
    <n v="97.5"/>
    <x v="30"/>
    <d v="2025-02-03T00:00:00"/>
    <x v="1"/>
    <x v="0"/>
    <x v="0"/>
    <x v="0"/>
    <x v="10"/>
    <x v="2"/>
    <x v="4"/>
    <x v="1"/>
  </r>
  <r>
    <x v="723"/>
    <x v="18"/>
    <x v="0"/>
    <n v="78.099999999999994"/>
    <n v="78.099999999999994"/>
    <x v="30"/>
    <d v="2025-02-03T00:00:00"/>
    <x v="1"/>
    <x v="0"/>
    <x v="2"/>
    <x v="0"/>
    <x v="11"/>
    <x v="2"/>
    <x v="4"/>
    <x v="1"/>
  </r>
  <r>
    <x v="724"/>
    <x v="12"/>
    <x v="13"/>
    <n v="110.2"/>
    <n v="661.2"/>
    <x v="30"/>
    <d v="2025-01-31T00:00:00"/>
    <x v="1"/>
    <x v="1"/>
    <x v="4"/>
    <x v="0"/>
    <x v="13"/>
    <x v="7"/>
    <x v="4"/>
    <x v="1"/>
  </r>
  <r>
    <x v="725"/>
    <x v="6"/>
    <x v="2"/>
    <n v="86.3"/>
    <n v="258.89999999999998"/>
    <x v="30"/>
    <d v="2025-02-02T00:00:00"/>
    <x v="2"/>
    <x v="3"/>
    <x v="0"/>
    <x v="0"/>
    <x v="21"/>
    <x v="1"/>
    <x v="4"/>
    <x v="2"/>
  </r>
  <r>
    <x v="726"/>
    <x v="1"/>
    <x v="13"/>
    <n v="73.599999999999994"/>
    <n v="441.59999999999997"/>
    <x v="30"/>
    <d v="2025-02-02T00:00:00"/>
    <x v="3"/>
    <x v="3"/>
    <x v="4"/>
    <x v="0"/>
    <x v="44"/>
    <x v="1"/>
    <x v="4"/>
    <x v="3"/>
  </r>
  <r>
    <x v="727"/>
    <x v="6"/>
    <x v="15"/>
    <n v="67.7"/>
    <n v="880.1"/>
    <x v="30"/>
    <d v="2025-02-02T00:00:00"/>
    <x v="2"/>
    <x v="0"/>
    <x v="2"/>
    <x v="0"/>
    <x v="3"/>
    <x v="1"/>
    <x v="4"/>
    <x v="2"/>
  </r>
  <r>
    <x v="728"/>
    <x v="7"/>
    <x v="13"/>
    <n v="142.19999999999999"/>
    <n v="853.19999999999993"/>
    <x v="30"/>
    <d v="2025-02-01T00:00:00"/>
    <x v="2"/>
    <x v="2"/>
    <x v="4"/>
    <x v="0"/>
    <x v="3"/>
    <x v="3"/>
    <x v="4"/>
    <x v="2"/>
  </r>
  <r>
    <x v="729"/>
    <x v="1"/>
    <x v="11"/>
    <n v="45.8"/>
    <n v="412.2"/>
    <x v="30"/>
    <d v="2025-02-02T00:00:00"/>
    <x v="2"/>
    <x v="1"/>
    <x v="2"/>
    <x v="0"/>
    <x v="3"/>
    <x v="1"/>
    <x v="4"/>
    <x v="2"/>
  </r>
  <r>
    <x v="730"/>
    <x v="10"/>
    <x v="1"/>
    <n v="24.2"/>
    <n v="48.4"/>
    <x v="31"/>
    <d v="2025-02-04T00:00:00"/>
    <x v="2"/>
    <x v="3"/>
    <x v="2"/>
    <x v="0"/>
    <x v="3"/>
    <x v="2"/>
    <x v="4"/>
    <x v="2"/>
  </r>
  <r>
    <x v="731"/>
    <x v="2"/>
    <x v="2"/>
    <n v="144.9"/>
    <n v="434.70000000000005"/>
    <x v="31"/>
    <d v="2025-02-02T00:00:00"/>
    <x v="3"/>
    <x v="2"/>
    <x v="2"/>
    <x v="0"/>
    <x v="3"/>
    <x v="3"/>
    <x v="4"/>
    <x v="3"/>
  </r>
  <r>
    <x v="732"/>
    <x v="11"/>
    <x v="9"/>
    <n v="32.799999999999997"/>
    <n v="164"/>
    <x v="31"/>
    <d v="2025-02-04T00:00:00"/>
    <x v="2"/>
    <x v="2"/>
    <x v="0"/>
    <x v="0"/>
    <x v="23"/>
    <x v="2"/>
    <x v="4"/>
    <x v="2"/>
  </r>
  <r>
    <x v="733"/>
    <x v="7"/>
    <x v="7"/>
    <n v="35.700000000000003"/>
    <n v="357"/>
    <x v="31"/>
    <d v="2025-02-01T00:00:00"/>
    <x v="2"/>
    <x v="0"/>
    <x v="1"/>
    <x v="0"/>
    <x v="6"/>
    <x v="7"/>
    <x v="4"/>
    <x v="2"/>
  </r>
  <r>
    <x v="734"/>
    <x v="9"/>
    <x v="1"/>
    <n v="54.6"/>
    <n v="109.2"/>
    <x v="31"/>
    <d v="2025-02-02T00:00:00"/>
    <x v="2"/>
    <x v="2"/>
    <x v="0"/>
    <x v="0"/>
    <x v="6"/>
    <x v="3"/>
    <x v="4"/>
    <x v="2"/>
  </r>
  <r>
    <x v="735"/>
    <x v="8"/>
    <x v="1"/>
    <n v="35.700000000000003"/>
    <n v="71.400000000000006"/>
    <x v="31"/>
    <d v="2025-02-04T00:00:00"/>
    <x v="0"/>
    <x v="0"/>
    <x v="1"/>
    <x v="0"/>
    <x v="6"/>
    <x v="2"/>
    <x v="4"/>
    <x v="0"/>
  </r>
  <r>
    <x v="736"/>
    <x v="10"/>
    <x v="1"/>
    <n v="52.4"/>
    <n v="104.8"/>
    <x v="31"/>
    <d v="2025-02-01T00:00:00"/>
    <x v="2"/>
    <x v="0"/>
    <x v="3"/>
    <x v="0"/>
    <x v="6"/>
    <x v="7"/>
    <x v="4"/>
    <x v="2"/>
  </r>
  <r>
    <x v="737"/>
    <x v="8"/>
    <x v="21"/>
    <n v="16.2"/>
    <n v="226.79999999999998"/>
    <x v="31"/>
    <d v="2025-02-02T00:00:00"/>
    <x v="0"/>
    <x v="0"/>
    <x v="1"/>
    <x v="0"/>
    <x v="8"/>
    <x v="3"/>
    <x v="4"/>
    <x v="0"/>
  </r>
  <r>
    <x v="738"/>
    <x v="6"/>
    <x v="35"/>
    <n v="42.8"/>
    <n v="2011.6"/>
    <x v="31"/>
    <d v="2025-02-02T00:00:00"/>
    <x v="2"/>
    <x v="0"/>
    <x v="0"/>
    <x v="0"/>
    <x v="8"/>
    <x v="3"/>
    <x v="4"/>
    <x v="2"/>
  </r>
  <r>
    <x v="739"/>
    <x v="6"/>
    <x v="11"/>
    <n v="144.4"/>
    <n v="1299.6000000000001"/>
    <x v="31"/>
    <d v="2025-02-04T00:00:00"/>
    <x v="2"/>
    <x v="4"/>
    <x v="0"/>
    <x v="0"/>
    <x v="8"/>
    <x v="2"/>
    <x v="4"/>
    <x v="2"/>
  </r>
  <r>
    <x v="740"/>
    <x v="3"/>
    <x v="34"/>
    <n v="30.6"/>
    <n v="1101.6000000000001"/>
    <x v="31"/>
    <d v="2025-02-05T00:00:00"/>
    <x v="2"/>
    <x v="2"/>
    <x v="2"/>
    <x v="0"/>
    <x v="11"/>
    <x v="5"/>
    <x v="4"/>
    <x v="2"/>
  </r>
  <r>
    <x v="741"/>
    <x v="2"/>
    <x v="1"/>
    <n v="117.5"/>
    <n v="235"/>
    <x v="31"/>
    <d v="2025-02-02T00:00:00"/>
    <x v="1"/>
    <x v="0"/>
    <x v="0"/>
    <x v="0"/>
    <x v="19"/>
    <x v="3"/>
    <x v="4"/>
    <x v="1"/>
  </r>
  <r>
    <x v="742"/>
    <x v="6"/>
    <x v="1"/>
    <n v="105.7"/>
    <n v="211.4"/>
    <x v="31"/>
    <d v="2025-02-02T00:00:00"/>
    <x v="2"/>
    <x v="2"/>
    <x v="2"/>
    <x v="0"/>
    <x v="21"/>
    <x v="3"/>
    <x v="4"/>
    <x v="2"/>
  </r>
  <r>
    <x v="743"/>
    <x v="3"/>
    <x v="2"/>
    <n v="133.69999999999999"/>
    <n v="401.09999999999997"/>
    <x v="31"/>
    <d v="2025-02-02T00:00:00"/>
    <x v="0"/>
    <x v="4"/>
    <x v="2"/>
    <x v="0"/>
    <x v="21"/>
    <x v="3"/>
    <x v="4"/>
    <x v="0"/>
  </r>
  <r>
    <x v="744"/>
    <x v="4"/>
    <x v="9"/>
    <n v="46.8"/>
    <n v="234"/>
    <x v="32"/>
    <d v="2025-02-10T00:00:00"/>
    <x v="2"/>
    <x v="0"/>
    <x v="1"/>
    <x v="0"/>
    <x v="21"/>
    <x v="9"/>
    <x v="5"/>
    <x v="2"/>
  </r>
  <r>
    <x v="745"/>
    <x v="10"/>
    <x v="2"/>
    <n v="58.4"/>
    <n v="175.2"/>
    <x v="32"/>
    <d v="2025-02-04T00:00:00"/>
    <x v="2"/>
    <x v="0"/>
    <x v="0"/>
    <x v="0"/>
    <x v="1"/>
    <x v="1"/>
    <x v="5"/>
    <x v="2"/>
  </r>
  <r>
    <x v="746"/>
    <x v="6"/>
    <x v="11"/>
    <n v="65.099999999999994"/>
    <n v="585.9"/>
    <x v="32"/>
    <d v="2025-02-06T00:00:00"/>
    <x v="1"/>
    <x v="1"/>
    <x v="2"/>
    <x v="0"/>
    <x v="22"/>
    <x v="5"/>
    <x v="5"/>
    <x v="1"/>
  </r>
  <r>
    <x v="747"/>
    <x v="8"/>
    <x v="0"/>
    <n v="18.600000000000001"/>
    <n v="18.600000000000001"/>
    <x v="32"/>
    <d v="2025-02-05T00:00:00"/>
    <x v="2"/>
    <x v="0"/>
    <x v="4"/>
    <x v="0"/>
    <x v="22"/>
    <x v="2"/>
    <x v="5"/>
    <x v="2"/>
  </r>
  <r>
    <x v="748"/>
    <x v="1"/>
    <x v="5"/>
    <n v="92.3"/>
    <n v="1015.3"/>
    <x v="32"/>
    <d v="2025-02-04T00:00:00"/>
    <x v="1"/>
    <x v="1"/>
    <x v="0"/>
    <x v="0"/>
    <x v="3"/>
    <x v="1"/>
    <x v="5"/>
    <x v="1"/>
  </r>
  <r>
    <x v="749"/>
    <x v="6"/>
    <x v="2"/>
    <n v="81.7"/>
    <n v="245.10000000000002"/>
    <x v="32"/>
    <d v="2025-02-03T00:00:00"/>
    <x v="0"/>
    <x v="4"/>
    <x v="4"/>
    <x v="0"/>
    <x v="3"/>
    <x v="3"/>
    <x v="5"/>
    <x v="0"/>
  </r>
  <r>
    <x v="750"/>
    <x v="8"/>
    <x v="1"/>
    <n v="40.9"/>
    <n v="81.8"/>
    <x v="32"/>
    <d v="2025-02-04T00:00:00"/>
    <x v="1"/>
    <x v="0"/>
    <x v="1"/>
    <x v="0"/>
    <x v="3"/>
    <x v="1"/>
    <x v="5"/>
    <x v="1"/>
  </r>
  <r>
    <x v="751"/>
    <x v="6"/>
    <x v="12"/>
    <n v="43.2"/>
    <n v="172.8"/>
    <x v="32"/>
    <d v="2025-02-08T00:00:00"/>
    <x v="2"/>
    <x v="0"/>
    <x v="1"/>
    <x v="0"/>
    <x v="3"/>
    <x v="4"/>
    <x v="5"/>
    <x v="2"/>
  </r>
  <r>
    <x v="752"/>
    <x v="8"/>
    <x v="5"/>
    <n v="25.8"/>
    <n v="283.8"/>
    <x v="32"/>
    <d v="2025-02-05T00:00:00"/>
    <x v="1"/>
    <x v="2"/>
    <x v="1"/>
    <x v="0"/>
    <x v="3"/>
    <x v="2"/>
    <x v="5"/>
    <x v="1"/>
  </r>
  <r>
    <x v="753"/>
    <x v="15"/>
    <x v="12"/>
    <n v="36.4"/>
    <n v="145.6"/>
    <x v="32"/>
    <d v="2025-02-03T00:00:00"/>
    <x v="1"/>
    <x v="0"/>
    <x v="0"/>
    <x v="0"/>
    <x v="3"/>
    <x v="3"/>
    <x v="5"/>
    <x v="1"/>
  </r>
  <r>
    <x v="754"/>
    <x v="10"/>
    <x v="0"/>
    <n v="59.1"/>
    <n v="59.1"/>
    <x v="32"/>
    <d v="2025-02-03T00:00:00"/>
    <x v="2"/>
    <x v="2"/>
    <x v="0"/>
    <x v="0"/>
    <x v="7"/>
    <x v="3"/>
    <x v="5"/>
    <x v="2"/>
  </r>
  <r>
    <x v="755"/>
    <x v="2"/>
    <x v="14"/>
    <n v="74.5"/>
    <n v="1266.5"/>
    <x v="32"/>
    <d v="2025-02-04T00:00:00"/>
    <x v="1"/>
    <x v="4"/>
    <x v="0"/>
    <x v="0"/>
    <x v="18"/>
    <x v="1"/>
    <x v="5"/>
    <x v="1"/>
  </r>
  <r>
    <x v="756"/>
    <x v="5"/>
    <x v="0"/>
    <n v="72.8"/>
    <n v="72.8"/>
    <x v="32"/>
    <d v="2025-02-03T00:00:00"/>
    <x v="2"/>
    <x v="0"/>
    <x v="1"/>
    <x v="0"/>
    <x v="19"/>
    <x v="3"/>
    <x v="5"/>
    <x v="2"/>
  </r>
  <r>
    <x v="757"/>
    <x v="6"/>
    <x v="12"/>
    <n v="137.30000000000001"/>
    <n v="549.20000000000005"/>
    <x v="32"/>
    <d v="2025-02-05T00:00:00"/>
    <x v="2"/>
    <x v="0"/>
    <x v="0"/>
    <x v="0"/>
    <x v="13"/>
    <x v="2"/>
    <x v="5"/>
    <x v="2"/>
  </r>
  <r>
    <x v="758"/>
    <x v="1"/>
    <x v="2"/>
    <n v="48.7"/>
    <n v="146.10000000000002"/>
    <x v="32"/>
    <d v="2025-02-07T00:00:00"/>
    <x v="2"/>
    <x v="0"/>
    <x v="1"/>
    <x v="0"/>
    <x v="21"/>
    <x v="0"/>
    <x v="5"/>
    <x v="2"/>
  </r>
  <r>
    <x v="759"/>
    <x v="6"/>
    <x v="12"/>
    <n v="53.7"/>
    <n v="214.8"/>
    <x v="32"/>
    <d v="2025-02-06T00:00:00"/>
    <x v="1"/>
    <x v="1"/>
    <x v="4"/>
    <x v="0"/>
    <x v="2"/>
    <x v="5"/>
    <x v="5"/>
    <x v="1"/>
  </r>
  <r>
    <x v="760"/>
    <x v="2"/>
    <x v="3"/>
    <n v="100.9"/>
    <n v="706.30000000000007"/>
    <x v="32"/>
    <d v="2025-02-04T00:00:00"/>
    <x v="2"/>
    <x v="0"/>
    <x v="1"/>
    <x v="0"/>
    <x v="2"/>
    <x v="1"/>
    <x v="5"/>
    <x v="2"/>
  </r>
  <r>
    <x v="761"/>
    <x v="10"/>
    <x v="1"/>
    <n v="41.8"/>
    <n v="83.6"/>
    <x v="32"/>
    <d v="2025-02-06T00:00:00"/>
    <x v="1"/>
    <x v="3"/>
    <x v="2"/>
    <x v="0"/>
    <x v="22"/>
    <x v="5"/>
    <x v="5"/>
    <x v="1"/>
  </r>
  <r>
    <x v="762"/>
    <x v="4"/>
    <x v="8"/>
    <n v="28.5"/>
    <n v="228"/>
    <x v="32"/>
    <d v="2025-02-04T00:00:00"/>
    <x v="1"/>
    <x v="2"/>
    <x v="1"/>
    <x v="0"/>
    <x v="3"/>
    <x v="1"/>
    <x v="5"/>
    <x v="1"/>
  </r>
  <r>
    <x v="763"/>
    <x v="7"/>
    <x v="12"/>
    <n v="88.9"/>
    <n v="355.6"/>
    <x v="32"/>
    <d v="2025-02-05T00:00:00"/>
    <x v="2"/>
    <x v="0"/>
    <x v="2"/>
    <x v="0"/>
    <x v="3"/>
    <x v="2"/>
    <x v="5"/>
    <x v="2"/>
  </r>
  <r>
    <x v="764"/>
    <x v="6"/>
    <x v="0"/>
    <n v="62.5"/>
    <n v="62.5"/>
    <x v="32"/>
    <d v="2025-02-11T00:00:00"/>
    <x v="2"/>
    <x v="0"/>
    <x v="2"/>
    <x v="0"/>
    <x v="3"/>
    <x v="8"/>
    <x v="5"/>
    <x v="2"/>
  </r>
  <r>
    <x v="765"/>
    <x v="1"/>
    <x v="2"/>
    <n v="46.9"/>
    <n v="140.69999999999999"/>
    <x v="32"/>
    <d v="2025-02-03T00:00:00"/>
    <x v="1"/>
    <x v="0"/>
    <x v="2"/>
    <x v="0"/>
    <x v="3"/>
    <x v="3"/>
    <x v="5"/>
    <x v="1"/>
  </r>
  <r>
    <x v="766"/>
    <x v="8"/>
    <x v="2"/>
    <n v="45"/>
    <n v="135"/>
    <x v="32"/>
    <d v="2025-02-16T00:00:00"/>
    <x v="1"/>
    <x v="1"/>
    <x v="0"/>
    <x v="0"/>
    <x v="3"/>
    <x v="12"/>
    <x v="5"/>
    <x v="1"/>
  </r>
  <r>
    <x v="767"/>
    <x v="6"/>
    <x v="2"/>
    <n v="45.2"/>
    <n v="135.60000000000002"/>
    <x v="32"/>
    <d v="2025-02-04T00:00:00"/>
    <x v="1"/>
    <x v="4"/>
    <x v="2"/>
    <x v="0"/>
    <x v="3"/>
    <x v="1"/>
    <x v="5"/>
    <x v="1"/>
  </r>
  <r>
    <x v="768"/>
    <x v="4"/>
    <x v="1"/>
    <n v="60.1"/>
    <n v="120.2"/>
    <x v="32"/>
    <d v="2025-02-03T00:00:00"/>
    <x v="2"/>
    <x v="0"/>
    <x v="2"/>
    <x v="0"/>
    <x v="3"/>
    <x v="3"/>
    <x v="5"/>
    <x v="2"/>
  </r>
  <r>
    <x v="769"/>
    <x v="12"/>
    <x v="12"/>
    <n v="118.7"/>
    <n v="474.8"/>
    <x v="32"/>
    <d v="2025-02-04T00:00:00"/>
    <x v="2"/>
    <x v="0"/>
    <x v="0"/>
    <x v="0"/>
    <x v="3"/>
    <x v="1"/>
    <x v="5"/>
    <x v="2"/>
  </r>
  <r>
    <x v="770"/>
    <x v="9"/>
    <x v="0"/>
    <n v="57.8"/>
    <n v="57.8"/>
    <x v="32"/>
    <d v="2025-02-11T00:00:00"/>
    <x v="2"/>
    <x v="1"/>
    <x v="0"/>
    <x v="0"/>
    <x v="3"/>
    <x v="8"/>
    <x v="5"/>
    <x v="2"/>
  </r>
  <r>
    <x v="771"/>
    <x v="4"/>
    <x v="0"/>
    <n v="19.5"/>
    <n v="19.5"/>
    <x v="32"/>
    <d v="2025-02-03T00:00:00"/>
    <x v="1"/>
    <x v="1"/>
    <x v="1"/>
    <x v="0"/>
    <x v="3"/>
    <x v="3"/>
    <x v="5"/>
    <x v="1"/>
  </r>
  <r>
    <x v="772"/>
    <x v="12"/>
    <x v="0"/>
    <n v="42.6"/>
    <n v="42.6"/>
    <x v="32"/>
    <d v="2025-02-03T00:00:00"/>
    <x v="1"/>
    <x v="0"/>
    <x v="1"/>
    <x v="0"/>
    <x v="3"/>
    <x v="3"/>
    <x v="5"/>
    <x v="1"/>
  </r>
  <r>
    <x v="773"/>
    <x v="6"/>
    <x v="1"/>
    <n v="74.8"/>
    <n v="149.6"/>
    <x v="32"/>
    <d v="2025-02-03T00:00:00"/>
    <x v="2"/>
    <x v="3"/>
    <x v="2"/>
    <x v="0"/>
    <x v="37"/>
    <x v="3"/>
    <x v="5"/>
    <x v="2"/>
  </r>
  <r>
    <x v="774"/>
    <x v="8"/>
    <x v="2"/>
    <n v="32.5"/>
    <n v="97.5"/>
    <x v="32"/>
    <d v="2025-02-03T00:00:00"/>
    <x v="1"/>
    <x v="2"/>
    <x v="4"/>
    <x v="0"/>
    <x v="16"/>
    <x v="3"/>
    <x v="5"/>
    <x v="1"/>
  </r>
  <r>
    <x v="775"/>
    <x v="2"/>
    <x v="2"/>
    <n v="60.5"/>
    <n v="181.5"/>
    <x v="32"/>
    <d v="2025-02-02T00:00:00"/>
    <x v="2"/>
    <x v="1"/>
    <x v="2"/>
    <x v="0"/>
    <x v="25"/>
    <x v="7"/>
    <x v="5"/>
    <x v="2"/>
  </r>
  <r>
    <x v="776"/>
    <x v="1"/>
    <x v="3"/>
    <n v="57.2"/>
    <n v="400.40000000000003"/>
    <x v="32"/>
    <d v="2025-02-04T00:00:00"/>
    <x v="0"/>
    <x v="2"/>
    <x v="0"/>
    <x v="0"/>
    <x v="25"/>
    <x v="1"/>
    <x v="5"/>
    <x v="0"/>
  </r>
  <r>
    <x v="777"/>
    <x v="16"/>
    <x v="1"/>
    <n v="112"/>
    <n v="224"/>
    <x v="32"/>
    <d v="2025-02-03T00:00:00"/>
    <x v="2"/>
    <x v="1"/>
    <x v="1"/>
    <x v="0"/>
    <x v="5"/>
    <x v="3"/>
    <x v="5"/>
    <x v="2"/>
  </r>
  <r>
    <x v="778"/>
    <x v="7"/>
    <x v="7"/>
    <n v="49"/>
    <n v="490"/>
    <x v="32"/>
    <d v="2025-02-03T00:00:00"/>
    <x v="3"/>
    <x v="2"/>
    <x v="1"/>
    <x v="0"/>
    <x v="6"/>
    <x v="3"/>
    <x v="5"/>
    <x v="3"/>
  </r>
  <r>
    <x v="779"/>
    <x v="0"/>
    <x v="1"/>
    <n v="33.700000000000003"/>
    <n v="67.400000000000006"/>
    <x v="32"/>
    <d v="2025-02-06T00:00:00"/>
    <x v="2"/>
    <x v="3"/>
    <x v="0"/>
    <x v="0"/>
    <x v="6"/>
    <x v="5"/>
    <x v="5"/>
    <x v="2"/>
  </r>
  <r>
    <x v="780"/>
    <x v="4"/>
    <x v="2"/>
    <n v="35.6"/>
    <n v="106.80000000000001"/>
    <x v="32"/>
    <d v="2025-02-05T00:00:00"/>
    <x v="2"/>
    <x v="0"/>
    <x v="2"/>
    <x v="0"/>
    <x v="6"/>
    <x v="2"/>
    <x v="5"/>
    <x v="2"/>
  </r>
  <r>
    <x v="781"/>
    <x v="4"/>
    <x v="36"/>
    <n v="30.4"/>
    <n v="1064"/>
    <x v="33"/>
    <d v="2025-02-03T00:00:00"/>
    <x v="2"/>
    <x v="0"/>
    <x v="1"/>
    <x v="0"/>
    <x v="7"/>
    <x v="7"/>
    <x v="5"/>
    <x v="2"/>
  </r>
  <r>
    <x v="782"/>
    <x v="10"/>
    <x v="4"/>
    <n v="50.2"/>
    <n v="602.40000000000009"/>
    <x v="33"/>
    <d v="2025-02-04T00:00:00"/>
    <x v="1"/>
    <x v="4"/>
    <x v="0"/>
    <x v="0"/>
    <x v="8"/>
    <x v="3"/>
    <x v="5"/>
    <x v="1"/>
  </r>
  <r>
    <x v="783"/>
    <x v="1"/>
    <x v="1"/>
    <n v="43.7"/>
    <n v="87.4"/>
    <x v="33"/>
    <d v="2025-02-05T00:00:00"/>
    <x v="2"/>
    <x v="0"/>
    <x v="0"/>
    <x v="0"/>
    <x v="8"/>
    <x v="1"/>
    <x v="5"/>
    <x v="2"/>
  </r>
  <r>
    <x v="784"/>
    <x v="10"/>
    <x v="0"/>
    <n v="33.299999999999997"/>
    <n v="33.299999999999997"/>
    <x v="33"/>
    <d v="2025-02-04T00:00:00"/>
    <x v="2"/>
    <x v="2"/>
    <x v="1"/>
    <x v="0"/>
    <x v="8"/>
    <x v="3"/>
    <x v="5"/>
    <x v="2"/>
  </r>
  <r>
    <x v="785"/>
    <x v="8"/>
    <x v="12"/>
    <n v="15.1"/>
    <n v="60.4"/>
    <x v="33"/>
    <d v="2025-02-05T00:00:00"/>
    <x v="2"/>
    <x v="4"/>
    <x v="2"/>
    <x v="0"/>
    <x v="8"/>
    <x v="1"/>
    <x v="5"/>
    <x v="2"/>
  </r>
  <r>
    <x v="786"/>
    <x v="6"/>
    <x v="9"/>
    <n v="118.2"/>
    <n v="591"/>
    <x v="33"/>
    <d v="2025-02-04T00:00:00"/>
    <x v="2"/>
    <x v="3"/>
    <x v="4"/>
    <x v="0"/>
    <x v="8"/>
    <x v="3"/>
    <x v="5"/>
    <x v="2"/>
  </r>
  <r>
    <x v="787"/>
    <x v="10"/>
    <x v="2"/>
    <n v="28.9"/>
    <n v="86.699999999999989"/>
    <x v="33"/>
    <d v="2025-02-05T00:00:00"/>
    <x v="2"/>
    <x v="2"/>
    <x v="1"/>
    <x v="0"/>
    <x v="8"/>
    <x v="1"/>
    <x v="5"/>
    <x v="2"/>
  </r>
  <r>
    <x v="788"/>
    <x v="4"/>
    <x v="2"/>
    <n v="55.6"/>
    <n v="166.8"/>
    <x v="33"/>
    <d v="2025-02-04T00:00:00"/>
    <x v="1"/>
    <x v="0"/>
    <x v="1"/>
    <x v="0"/>
    <x v="8"/>
    <x v="3"/>
    <x v="5"/>
    <x v="1"/>
  </r>
  <r>
    <x v="789"/>
    <x v="9"/>
    <x v="12"/>
    <n v="25.6"/>
    <n v="102.4"/>
    <x v="33"/>
    <d v="2025-02-05T00:00:00"/>
    <x v="2"/>
    <x v="0"/>
    <x v="1"/>
    <x v="0"/>
    <x v="8"/>
    <x v="1"/>
    <x v="5"/>
    <x v="2"/>
  </r>
  <r>
    <x v="790"/>
    <x v="7"/>
    <x v="2"/>
    <n v="31.3"/>
    <n v="93.9"/>
    <x v="33"/>
    <d v="2025-02-04T00:00:00"/>
    <x v="1"/>
    <x v="0"/>
    <x v="0"/>
    <x v="0"/>
    <x v="17"/>
    <x v="3"/>
    <x v="5"/>
    <x v="1"/>
  </r>
  <r>
    <x v="791"/>
    <x v="0"/>
    <x v="2"/>
    <n v="22.1"/>
    <n v="66.300000000000011"/>
    <x v="33"/>
    <d v="2025-02-07T00:00:00"/>
    <x v="1"/>
    <x v="0"/>
    <x v="0"/>
    <x v="0"/>
    <x v="17"/>
    <x v="5"/>
    <x v="5"/>
    <x v="1"/>
  </r>
  <r>
    <x v="792"/>
    <x v="2"/>
    <x v="21"/>
    <n v="99.4"/>
    <n v="1391.6000000000001"/>
    <x v="33"/>
    <d v="2025-02-04T00:00:00"/>
    <x v="1"/>
    <x v="1"/>
    <x v="0"/>
    <x v="0"/>
    <x v="11"/>
    <x v="3"/>
    <x v="5"/>
    <x v="1"/>
  </r>
  <r>
    <x v="793"/>
    <x v="7"/>
    <x v="13"/>
    <n v="66.599999999999994"/>
    <n v="399.59999999999997"/>
    <x v="33"/>
    <d v="2025-02-04T00:00:00"/>
    <x v="2"/>
    <x v="0"/>
    <x v="0"/>
    <x v="0"/>
    <x v="11"/>
    <x v="3"/>
    <x v="5"/>
    <x v="2"/>
  </r>
  <r>
    <x v="794"/>
    <x v="8"/>
    <x v="1"/>
    <n v="22.6"/>
    <n v="45.2"/>
    <x v="33"/>
    <d v="2025-02-06T00:00:00"/>
    <x v="1"/>
    <x v="0"/>
    <x v="0"/>
    <x v="0"/>
    <x v="11"/>
    <x v="2"/>
    <x v="5"/>
    <x v="1"/>
  </r>
  <r>
    <x v="795"/>
    <x v="2"/>
    <x v="16"/>
    <n v="66.8"/>
    <n v="1202.3999999999999"/>
    <x v="33"/>
    <d v="2025-02-04T00:00:00"/>
    <x v="2"/>
    <x v="0"/>
    <x v="4"/>
    <x v="0"/>
    <x v="13"/>
    <x v="3"/>
    <x v="5"/>
    <x v="2"/>
  </r>
  <r>
    <x v="796"/>
    <x v="0"/>
    <x v="12"/>
    <n v="20.8"/>
    <n v="83.2"/>
    <x v="33"/>
    <d v="2025-02-10T00:00:00"/>
    <x v="1"/>
    <x v="1"/>
    <x v="4"/>
    <x v="0"/>
    <x v="1"/>
    <x v="6"/>
    <x v="5"/>
    <x v="1"/>
  </r>
  <r>
    <x v="797"/>
    <x v="2"/>
    <x v="3"/>
    <n v="102.5"/>
    <n v="717.5"/>
    <x v="33"/>
    <d v="2025-02-04T00:00:00"/>
    <x v="2"/>
    <x v="4"/>
    <x v="2"/>
    <x v="0"/>
    <x v="3"/>
    <x v="3"/>
    <x v="5"/>
    <x v="2"/>
  </r>
  <r>
    <x v="798"/>
    <x v="0"/>
    <x v="16"/>
    <n v="24.8"/>
    <n v="446.40000000000003"/>
    <x v="33"/>
    <d v="2025-02-07T00:00:00"/>
    <x v="2"/>
    <x v="0"/>
    <x v="0"/>
    <x v="0"/>
    <x v="3"/>
    <x v="5"/>
    <x v="5"/>
    <x v="2"/>
  </r>
  <r>
    <x v="799"/>
    <x v="4"/>
    <x v="37"/>
    <n v="31.4"/>
    <n v="973.4"/>
    <x v="33"/>
    <d v="2025-02-04T00:00:00"/>
    <x v="2"/>
    <x v="3"/>
    <x v="0"/>
    <x v="0"/>
    <x v="3"/>
    <x v="3"/>
    <x v="5"/>
    <x v="2"/>
  </r>
  <r>
    <x v="800"/>
    <x v="9"/>
    <x v="9"/>
    <n v="59.3"/>
    <n v="296.5"/>
    <x v="33"/>
    <d v="2025-02-06T00:00:00"/>
    <x v="1"/>
    <x v="1"/>
    <x v="2"/>
    <x v="0"/>
    <x v="43"/>
    <x v="2"/>
    <x v="5"/>
    <x v="1"/>
  </r>
  <r>
    <x v="801"/>
    <x v="11"/>
    <x v="13"/>
    <n v="39"/>
    <n v="234"/>
    <x v="33"/>
    <d v="2025-02-06T00:00:00"/>
    <x v="1"/>
    <x v="1"/>
    <x v="0"/>
    <x v="0"/>
    <x v="6"/>
    <x v="2"/>
    <x v="5"/>
    <x v="1"/>
  </r>
  <r>
    <x v="802"/>
    <x v="5"/>
    <x v="13"/>
    <n v="98.6"/>
    <n v="591.59999999999991"/>
    <x v="33"/>
    <d v="2025-02-05T00:00:00"/>
    <x v="2"/>
    <x v="1"/>
    <x v="0"/>
    <x v="0"/>
    <x v="6"/>
    <x v="1"/>
    <x v="5"/>
    <x v="2"/>
  </r>
  <r>
    <x v="803"/>
    <x v="8"/>
    <x v="0"/>
    <n v="20"/>
    <n v="20"/>
    <x v="34"/>
    <d v="2025-02-05T00:00:00"/>
    <x v="1"/>
    <x v="3"/>
    <x v="2"/>
    <x v="0"/>
    <x v="8"/>
    <x v="3"/>
    <x v="5"/>
    <x v="1"/>
  </r>
  <r>
    <x v="804"/>
    <x v="1"/>
    <x v="1"/>
    <n v="42.9"/>
    <n v="85.8"/>
    <x v="34"/>
    <d v="2025-02-06T00:00:00"/>
    <x v="2"/>
    <x v="0"/>
    <x v="2"/>
    <x v="0"/>
    <x v="8"/>
    <x v="1"/>
    <x v="5"/>
    <x v="2"/>
  </r>
  <r>
    <x v="805"/>
    <x v="7"/>
    <x v="3"/>
    <n v="55.6"/>
    <n v="389.2"/>
    <x v="34"/>
    <d v="2025-02-06T00:00:00"/>
    <x v="2"/>
    <x v="2"/>
    <x v="1"/>
    <x v="0"/>
    <x v="8"/>
    <x v="1"/>
    <x v="5"/>
    <x v="2"/>
  </r>
  <r>
    <x v="806"/>
    <x v="8"/>
    <x v="12"/>
    <n v="19.2"/>
    <n v="76.8"/>
    <x v="34"/>
    <d v="2025-02-09T00:00:00"/>
    <x v="2"/>
    <x v="0"/>
    <x v="0"/>
    <x v="0"/>
    <x v="41"/>
    <x v="0"/>
    <x v="5"/>
    <x v="2"/>
  </r>
  <r>
    <x v="807"/>
    <x v="5"/>
    <x v="1"/>
    <n v="28.8"/>
    <n v="57.6"/>
    <x v="34"/>
    <d v="2025-02-06T00:00:00"/>
    <x v="1"/>
    <x v="1"/>
    <x v="0"/>
    <x v="0"/>
    <x v="18"/>
    <x v="1"/>
    <x v="5"/>
    <x v="1"/>
  </r>
  <r>
    <x v="808"/>
    <x v="4"/>
    <x v="0"/>
    <n v="29.7"/>
    <n v="29.7"/>
    <x v="34"/>
    <d v="2025-02-06T00:00:00"/>
    <x v="2"/>
    <x v="2"/>
    <x v="4"/>
    <x v="0"/>
    <x v="20"/>
    <x v="1"/>
    <x v="5"/>
    <x v="2"/>
  </r>
  <r>
    <x v="809"/>
    <x v="6"/>
    <x v="13"/>
    <n v="63.3"/>
    <n v="379.79999999999995"/>
    <x v="34"/>
    <d v="2025-02-05T00:00:00"/>
    <x v="0"/>
    <x v="0"/>
    <x v="2"/>
    <x v="0"/>
    <x v="21"/>
    <x v="3"/>
    <x v="5"/>
    <x v="0"/>
  </r>
  <r>
    <x v="810"/>
    <x v="4"/>
    <x v="0"/>
    <n v="46"/>
    <n v="46"/>
    <x v="34"/>
    <d v="2025-02-05T00:00:00"/>
    <x v="2"/>
    <x v="0"/>
    <x v="2"/>
    <x v="0"/>
    <x v="21"/>
    <x v="3"/>
    <x v="5"/>
    <x v="2"/>
  </r>
  <r>
    <x v="811"/>
    <x v="11"/>
    <x v="2"/>
    <n v="38"/>
    <n v="114"/>
    <x v="34"/>
    <d v="2025-02-06T00:00:00"/>
    <x v="2"/>
    <x v="1"/>
    <x v="2"/>
    <x v="0"/>
    <x v="21"/>
    <x v="1"/>
    <x v="5"/>
    <x v="2"/>
  </r>
  <r>
    <x v="812"/>
    <x v="10"/>
    <x v="15"/>
    <n v="34.6"/>
    <n v="449.8"/>
    <x v="34"/>
    <d v="2025-02-06T00:00:00"/>
    <x v="2"/>
    <x v="0"/>
    <x v="1"/>
    <x v="0"/>
    <x v="21"/>
    <x v="1"/>
    <x v="5"/>
    <x v="2"/>
  </r>
  <r>
    <x v="813"/>
    <x v="3"/>
    <x v="7"/>
    <n v="79.7"/>
    <n v="797"/>
    <x v="34"/>
    <d v="2025-02-05T00:00:00"/>
    <x v="2"/>
    <x v="4"/>
    <x v="1"/>
    <x v="0"/>
    <x v="21"/>
    <x v="3"/>
    <x v="5"/>
    <x v="2"/>
  </r>
  <r>
    <x v="814"/>
    <x v="8"/>
    <x v="8"/>
    <n v="30.5"/>
    <n v="244"/>
    <x v="34"/>
    <d v="2025-02-08T00:00:00"/>
    <x v="1"/>
    <x v="3"/>
    <x v="0"/>
    <x v="0"/>
    <x v="1"/>
    <x v="5"/>
    <x v="5"/>
    <x v="1"/>
  </r>
  <r>
    <x v="815"/>
    <x v="0"/>
    <x v="1"/>
    <n v="20.8"/>
    <n v="41.6"/>
    <x v="34"/>
    <d v="2025-02-05T00:00:00"/>
    <x v="2"/>
    <x v="0"/>
    <x v="0"/>
    <x v="0"/>
    <x v="2"/>
    <x v="3"/>
    <x v="5"/>
    <x v="2"/>
  </r>
  <r>
    <x v="816"/>
    <x v="11"/>
    <x v="3"/>
    <n v="48.5"/>
    <n v="339.5"/>
    <x v="34"/>
    <d v="2025-02-08T00:00:00"/>
    <x v="2"/>
    <x v="2"/>
    <x v="2"/>
    <x v="0"/>
    <x v="2"/>
    <x v="5"/>
    <x v="5"/>
    <x v="2"/>
  </r>
  <r>
    <x v="817"/>
    <x v="2"/>
    <x v="12"/>
    <n v="61.8"/>
    <n v="247.2"/>
    <x v="34"/>
    <d v="2025-02-08T00:00:00"/>
    <x v="2"/>
    <x v="4"/>
    <x v="0"/>
    <x v="0"/>
    <x v="22"/>
    <x v="5"/>
    <x v="5"/>
    <x v="2"/>
  </r>
  <r>
    <x v="818"/>
    <x v="10"/>
    <x v="0"/>
    <n v="46.1"/>
    <n v="46.1"/>
    <x v="34"/>
    <d v="2025-02-05T00:00:00"/>
    <x v="3"/>
    <x v="2"/>
    <x v="0"/>
    <x v="0"/>
    <x v="3"/>
    <x v="3"/>
    <x v="5"/>
    <x v="3"/>
  </r>
  <r>
    <x v="819"/>
    <x v="4"/>
    <x v="13"/>
    <n v="44"/>
    <n v="264"/>
    <x v="34"/>
    <d v="2025-02-05T00:00:00"/>
    <x v="2"/>
    <x v="0"/>
    <x v="0"/>
    <x v="0"/>
    <x v="3"/>
    <x v="3"/>
    <x v="5"/>
    <x v="2"/>
  </r>
  <r>
    <x v="820"/>
    <x v="18"/>
    <x v="1"/>
    <n v="95.7"/>
    <n v="191.4"/>
    <x v="34"/>
    <d v="2025-02-10T00:00:00"/>
    <x v="2"/>
    <x v="3"/>
    <x v="2"/>
    <x v="0"/>
    <x v="3"/>
    <x v="4"/>
    <x v="5"/>
    <x v="2"/>
  </r>
  <r>
    <x v="821"/>
    <x v="7"/>
    <x v="9"/>
    <n v="46.4"/>
    <n v="232"/>
    <x v="34"/>
    <d v="2025-02-07T00:00:00"/>
    <x v="2"/>
    <x v="0"/>
    <x v="0"/>
    <x v="0"/>
    <x v="3"/>
    <x v="2"/>
    <x v="5"/>
    <x v="2"/>
  </r>
  <r>
    <x v="822"/>
    <x v="6"/>
    <x v="1"/>
    <n v="47.2"/>
    <n v="94.4"/>
    <x v="34"/>
    <d v="2025-02-06T00:00:00"/>
    <x v="2"/>
    <x v="0"/>
    <x v="2"/>
    <x v="0"/>
    <x v="3"/>
    <x v="1"/>
    <x v="5"/>
    <x v="2"/>
  </r>
  <r>
    <x v="823"/>
    <x v="7"/>
    <x v="1"/>
    <n v="58.6"/>
    <n v="117.2"/>
    <x v="34"/>
    <d v="2025-02-05T00:00:00"/>
    <x v="2"/>
    <x v="2"/>
    <x v="1"/>
    <x v="0"/>
    <x v="3"/>
    <x v="3"/>
    <x v="5"/>
    <x v="2"/>
  </r>
  <r>
    <x v="824"/>
    <x v="4"/>
    <x v="2"/>
    <n v="57"/>
    <n v="171"/>
    <x v="34"/>
    <d v="2025-02-05T00:00:00"/>
    <x v="1"/>
    <x v="0"/>
    <x v="2"/>
    <x v="0"/>
    <x v="3"/>
    <x v="3"/>
    <x v="5"/>
    <x v="1"/>
  </r>
  <r>
    <x v="825"/>
    <x v="8"/>
    <x v="12"/>
    <n v="28.9"/>
    <n v="115.6"/>
    <x v="34"/>
    <d v="2025-02-08T00:00:00"/>
    <x v="1"/>
    <x v="2"/>
    <x v="0"/>
    <x v="0"/>
    <x v="3"/>
    <x v="5"/>
    <x v="5"/>
    <x v="1"/>
  </r>
  <r>
    <x v="826"/>
    <x v="12"/>
    <x v="9"/>
    <n v="60.7"/>
    <n v="303.5"/>
    <x v="34"/>
    <d v="2025-02-08T00:00:00"/>
    <x v="0"/>
    <x v="1"/>
    <x v="1"/>
    <x v="0"/>
    <x v="3"/>
    <x v="5"/>
    <x v="5"/>
    <x v="0"/>
  </r>
  <r>
    <x v="827"/>
    <x v="6"/>
    <x v="9"/>
    <n v="60.8"/>
    <n v="304"/>
    <x v="34"/>
    <d v="2025-02-08T00:00:00"/>
    <x v="1"/>
    <x v="0"/>
    <x v="1"/>
    <x v="0"/>
    <x v="3"/>
    <x v="5"/>
    <x v="5"/>
    <x v="1"/>
  </r>
  <r>
    <x v="828"/>
    <x v="6"/>
    <x v="9"/>
    <n v="64.599999999999994"/>
    <n v="323"/>
    <x v="34"/>
    <d v="2025-02-05T00:00:00"/>
    <x v="2"/>
    <x v="3"/>
    <x v="0"/>
    <x v="0"/>
    <x v="3"/>
    <x v="3"/>
    <x v="5"/>
    <x v="2"/>
  </r>
  <r>
    <x v="829"/>
    <x v="8"/>
    <x v="0"/>
    <n v="21.9"/>
    <n v="21.9"/>
    <x v="34"/>
    <d v="2025-02-07T00:00:00"/>
    <x v="1"/>
    <x v="1"/>
    <x v="2"/>
    <x v="0"/>
    <x v="4"/>
    <x v="2"/>
    <x v="5"/>
    <x v="1"/>
  </r>
  <r>
    <x v="830"/>
    <x v="4"/>
    <x v="4"/>
    <n v="33.4"/>
    <n v="400.79999999999995"/>
    <x v="34"/>
    <d v="2025-02-06T00:00:00"/>
    <x v="2"/>
    <x v="0"/>
    <x v="0"/>
    <x v="0"/>
    <x v="23"/>
    <x v="1"/>
    <x v="5"/>
    <x v="2"/>
  </r>
  <r>
    <x v="831"/>
    <x v="2"/>
    <x v="0"/>
    <n v="51.7"/>
    <n v="51.7"/>
    <x v="34"/>
    <d v="2025-02-05T00:00:00"/>
    <x v="0"/>
    <x v="0"/>
    <x v="0"/>
    <x v="0"/>
    <x v="6"/>
    <x v="3"/>
    <x v="5"/>
    <x v="0"/>
  </r>
  <r>
    <x v="832"/>
    <x v="1"/>
    <x v="12"/>
    <n v="84.9"/>
    <n v="339.6"/>
    <x v="34"/>
    <d v="2025-02-05T00:00:00"/>
    <x v="2"/>
    <x v="1"/>
    <x v="1"/>
    <x v="0"/>
    <x v="6"/>
    <x v="3"/>
    <x v="5"/>
    <x v="2"/>
  </r>
  <r>
    <x v="833"/>
    <x v="1"/>
    <x v="5"/>
    <n v="62.3"/>
    <n v="685.3"/>
    <x v="34"/>
    <d v="2025-02-05T00:00:00"/>
    <x v="2"/>
    <x v="2"/>
    <x v="2"/>
    <x v="0"/>
    <x v="7"/>
    <x v="3"/>
    <x v="5"/>
    <x v="2"/>
  </r>
  <r>
    <x v="834"/>
    <x v="4"/>
    <x v="0"/>
    <n v="50.7"/>
    <n v="50.7"/>
    <x v="34"/>
    <d v="2025-02-06T00:00:00"/>
    <x v="1"/>
    <x v="2"/>
    <x v="2"/>
    <x v="0"/>
    <x v="8"/>
    <x v="1"/>
    <x v="5"/>
    <x v="1"/>
  </r>
  <r>
    <x v="835"/>
    <x v="18"/>
    <x v="0"/>
    <n v="39.5"/>
    <n v="39.5"/>
    <x v="34"/>
    <d v="2025-02-05T00:00:00"/>
    <x v="1"/>
    <x v="4"/>
    <x v="1"/>
    <x v="0"/>
    <x v="8"/>
    <x v="3"/>
    <x v="5"/>
    <x v="1"/>
  </r>
  <r>
    <x v="836"/>
    <x v="12"/>
    <x v="2"/>
    <n v="30.9"/>
    <n v="92.699999999999989"/>
    <x v="34"/>
    <d v="2025-02-05T00:00:00"/>
    <x v="0"/>
    <x v="4"/>
    <x v="2"/>
    <x v="0"/>
    <x v="8"/>
    <x v="3"/>
    <x v="5"/>
    <x v="0"/>
  </r>
  <r>
    <x v="837"/>
    <x v="1"/>
    <x v="3"/>
    <n v="36.4"/>
    <n v="254.79999999999998"/>
    <x v="34"/>
    <d v="2025-02-07T00:00:00"/>
    <x v="2"/>
    <x v="0"/>
    <x v="2"/>
    <x v="0"/>
    <x v="8"/>
    <x v="2"/>
    <x v="5"/>
    <x v="2"/>
  </r>
  <r>
    <x v="838"/>
    <x v="6"/>
    <x v="8"/>
    <n v="105.6"/>
    <n v="844.8"/>
    <x v="34"/>
    <d v="2025-02-14T00:00:00"/>
    <x v="2"/>
    <x v="0"/>
    <x v="0"/>
    <x v="0"/>
    <x v="8"/>
    <x v="14"/>
    <x v="5"/>
    <x v="2"/>
  </r>
  <r>
    <x v="839"/>
    <x v="8"/>
    <x v="1"/>
    <n v="22.1"/>
    <n v="44.2"/>
    <x v="34"/>
    <d v="2025-02-05T00:00:00"/>
    <x v="2"/>
    <x v="0"/>
    <x v="2"/>
    <x v="0"/>
    <x v="17"/>
    <x v="3"/>
    <x v="5"/>
    <x v="2"/>
  </r>
  <r>
    <x v="840"/>
    <x v="0"/>
    <x v="2"/>
    <n v="22.6"/>
    <n v="67.800000000000011"/>
    <x v="34"/>
    <d v="2025-02-05T00:00:00"/>
    <x v="2"/>
    <x v="2"/>
    <x v="0"/>
    <x v="0"/>
    <x v="17"/>
    <x v="3"/>
    <x v="5"/>
    <x v="2"/>
  </r>
  <r>
    <x v="841"/>
    <x v="10"/>
    <x v="13"/>
    <n v="26.3"/>
    <n v="157.80000000000001"/>
    <x v="34"/>
    <d v="2025-02-04T00:00:00"/>
    <x v="2"/>
    <x v="2"/>
    <x v="0"/>
    <x v="0"/>
    <x v="9"/>
    <x v="7"/>
    <x v="5"/>
    <x v="2"/>
  </r>
  <r>
    <x v="842"/>
    <x v="1"/>
    <x v="12"/>
    <n v="37.799999999999997"/>
    <n v="151.19999999999999"/>
    <x v="34"/>
    <d v="2025-02-05T00:00:00"/>
    <x v="2"/>
    <x v="0"/>
    <x v="2"/>
    <x v="0"/>
    <x v="11"/>
    <x v="3"/>
    <x v="5"/>
    <x v="2"/>
  </r>
  <r>
    <x v="843"/>
    <x v="6"/>
    <x v="14"/>
    <n v="96"/>
    <n v="1632"/>
    <x v="34"/>
    <d v="2025-02-07T00:00:00"/>
    <x v="2"/>
    <x v="4"/>
    <x v="1"/>
    <x v="0"/>
    <x v="18"/>
    <x v="2"/>
    <x v="5"/>
    <x v="2"/>
  </r>
  <r>
    <x v="844"/>
    <x v="1"/>
    <x v="0"/>
    <n v="83.6"/>
    <n v="83.6"/>
    <x v="34"/>
    <d v="2025-02-07T00:00:00"/>
    <x v="2"/>
    <x v="2"/>
    <x v="1"/>
    <x v="0"/>
    <x v="19"/>
    <x v="2"/>
    <x v="5"/>
    <x v="2"/>
  </r>
  <r>
    <x v="845"/>
    <x v="2"/>
    <x v="13"/>
    <n v="72.599999999999994"/>
    <n v="435.59999999999997"/>
    <x v="34"/>
    <d v="2025-02-05T00:00:00"/>
    <x v="2"/>
    <x v="0"/>
    <x v="0"/>
    <x v="0"/>
    <x v="21"/>
    <x v="3"/>
    <x v="5"/>
    <x v="2"/>
  </r>
  <r>
    <x v="846"/>
    <x v="5"/>
    <x v="28"/>
    <n v="69.099999999999994"/>
    <n v="1382"/>
    <x v="35"/>
    <d v="2025-02-11T00:00:00"/>
    <x v="1"/>
    <x v="0"/>
    <x v="2"/>
    <x v="0"/>
    <x v="21"/>
    <x v="4"/>
    <x v="5"/>
    <x v="1"/>
  </r>
  <r>
    <x v="847"/>
    <x v="4"/>
    <x v="1"/>
    <n v="22.6"/>
    <n v="45.2"/>
    <x v="35"/>
    <d v="2025-02-07T00:00:00"/>
    <x v="2"/>
    <x v="1"/>
    <x v="2"/>
    <x v="0"/>
    <x v="21"/>
    <x v="1"/>
    <x v="5"/>
    <x v="2"/>
  </r>
  <r>
    <x v="848"/>
    <x v="6"/>
    <x v="1"/>
    <n v="45.3"/>
    <n v="90.6"/>
    <x v="35"/>
    <d v="2025-02-09T00:00:00"/>
    <x v="1"/>
    <x v="4"/>
    <x v="2"/>
    <x v="0"/>
    <x v="21"/>
    <x v="5"/>
    <x v="5"/>
    <x v="1"/>
  </r>
  <r>
    <x v="849"/>
    <x v="2"/>
    <x v="1"/>
    <n v="115.1"/>
    <n v="230.2"/>
    <x v="35"/>
    <d v="2025-02-06T00:00:00"/>
    <x v="2"/>
    <x v="1"/>
    <x v="0"/>
    <x v="0"/>
    <x v="1"/>
    <x v="3"/>
    <x v="5"/>
    <x v="2"/>
  </r>
  <r>
    <x v="850"/>
    <x v="18"/>
    <x v="12"/>
    <n v="79"/>
    <n v="316"/>
    <x v="35"/>
    <d v="2025-02-07T00:00:00"/>
    <x v="1"/>
    <x v="2"/>
    <x v="4"/>
    <x v="0"/>
    <x v="1"/>
    <x v="1"/>
    <x v="5"/>
    <x v="1"/>
  </r>
  <r>
    <x v="851"/>
    <x v="6"/>
    <x v="9"/>
    <n v="52.8"/>
    <n v="264"/>
    <x v="35"/>
    <d v="2025-02-06T00:00:00"/>
    <x v="2"/>
    <x v="0"/>
    <x v="0"/>
    <x v="0"/>
    <x v="42"/>
    <x v="3"/>
    <x v="5"/>
    <x v="2"/>
  </r>
  <r>
    <x v="852"/>
    <x v="8"/>
    <x v="1"/>
    <n v="34.1"/>
    <n v="68.2"/>
    <x v="35"/>
    <d v="2025-02-06T00:00:00"/>
    <x v="1"/>
    <x v="3"/>
    <x v="2"/>
    <x v="0"/>
    <x v="44"/>
    <x v="3"/>
    <x v="5"/>
    <x v="1"/>
  </r>
  <r>
    <x v="853"/>
    <x v="6"/>
    <x v="9"/>
    <n v="107.9"/>
    <n v="539.5"/>
    <x v="35"/>
    <d v="2025-02-05T00:00:00"/>
    <x v="2"/>
    <x v="0"/>
    <x v="2"/>
    <x v="0"/>
    <x v="50"/>
    <x v="7"/>
    <x v="5"/>
    <x v="2"/>
  </r>
  <r>
    <x v="854"/>
    <x v="8"/>
    <x v="15"/>
    <n v="48.5"/>
    <n v="630.5"/>
    <x v="35"/>
    <d v="2025-02-05T00:00:00"/>
    <x v="1"/>
    <x v="2"/>
    <x v="2"/>
    <x v="0"/>
    <x v="3"/>
    <x v="7"/>
    <x v="5"/>
    <x v="1"/>
  </r>
  <r>
    <x v="855"/>
    <x v="5"/>
    <x v="2"/>
    <n v="34.700000000000003"/>
    <n v="104.10000000000001"/>
    <x v="35"/>
    <d v="2025-02-06T00:00:00"/>
    <x v="0"/>
    <x v="4"/>
    <x v="1"/>
    <x v="0"/>
    <x v="3"/>
    <x v="3"/>
    <x v="5"/>
    <x v="0"/>
  </r>
  <r>
    <x v="856"/>
    <x v="8"/>
    <x v="0"/>
    <n v="16.8"/>
    <n v="16.8"/>
    <x v="35"/>
    <d v="2025-02-07T00:00:00"/>
    <x v="2"/>
    <x v="3"/>
    <x v="0"/>
    <x v="0"/>
    <x v="3"/>
    <x v="1"/>
    <x v="5"/>
    <x v="2"/>
  </r>
  <r>
    <x v="857"/>
    <x v="8"/>
    <x v="13"/>
    <n v="18.3"/>
    <n v="109.80000000000001"/>
    <x v="35"/>
    <d v="2025-02-08T00:00:00"/>
    <x v="2"/>
    <x v="0"/>
    <x v="0"/>
    <x v="0"/>
    <x v="3"/>
    <x v="2"/>
    <x v="5"/>
    <x v="2"/>
  </r>
  <r>
    <x v="858"/>
    <x v="18"/>
    <x v="2"/>
    <n v="55.9"/>
    <n v="167.7"/>
    <x v="35"/>
    <d v="2025-02-11T00:00:00"/>
    <x v="1"/>
    <x v="3"/>
    <x v="1"/>
    <x v="0"/>
    <x v="3"/>
    <x v="4"/>
    <x v="5"/>
    <x v="1"/>
  </r>
  <r>
    <x v="859"/>
    <x v="8"/>
    <x v="2"/>
    <n v="39.200000000000003"/>
    <n v="117.60000000000001"/>
    <x v="35"/>
    <d v="2025-02-07T00:00:00"/>
    <x v="2"/>
    <x v="0"/>
    <x v="1"/>
    <x v="0"/>
    <x v="3"/>
    <x v="1"/>
    <x v="5"/>
    <x v="2"/>
  </r>
  <r>
    <x v="860"/>
    <x v="15"/>
    <x v="12"/>
    <n v="66.5"/>
    <n v="266"/>
    <x v="35"/>
    <d v="2025-02-07T00:00:00"/>
    <x v="0"/>
    <x v="3"/>
    <x v="1"/>
    <x v="0"/>
    <x v="3"/>
    <x v="1"/>
    <x v="5"/>
    <x v="0"/>
  </r>
  <r>
    <x v="861"/>
    <x v="6"/>
    <x v="13"/>
    <n v="52.1"/>
    <n v="312.60000000000002"/>
    <x v="35"/>
    <d v="2025-02-07T00:00:00"/>
    <x v="1"/>
    <x v="1"/>
    <x v="1"/>
    <x v="0"/>
    <x v="16"/>
    <x v="1"/>
    <x v="5"/>
    <x v="1"/>
  </r>
  <r>
    <x v="862"/>
    <x v="8"/>
    <x v="1"/>
    <n v="19"/>
    <n v="38"/>
    <x v="35"/>
    <d v="2025-02-06T00:00:00"/>
    <x v="1"/>
    <x v="4"/>
    <x v="2"/>
    <x v="0"/>
    <x v="6"/>
    <x v="3"/>
    <x v="5"/>
    <x v="1"/>
  </r>
  <r>
    <x v="863"/>
    <x v="7"/>
    <x v="2"/>
    <n v="84.8"/>
    <n v="254.39999999999998"/>
    <x v="35"/>
    <d v="2025-02-07T00:00:00"/>
    <x v="2"/>
    <x v="2"/>
    <x v="0"/>
    <x v="0"/>
    <x v="8"/>
    <x v="1"/>
    <x v="5"/>
    <x v="2"/>
  </r>
  <r>
    <x v="864"/>
    <x v="2"/>
    <x v="12"/>
    <n v="63.9"/>
    <n v="255.6"/>
    <x v="35"/>
    <d v="2025-02-08T00:00:00"/>
    <x v="2"/>
    <x v="0"/>
    <x v="0"/>
    <x v="0"/>
    <x v="8"/>
    <x v="2"/>
    <x v="5"/>
    <x v="2"/>
  </r>
  <r>
    <x v="865"/>
    <x v="2"/>
    <x v="2"/>
    <n v="65.5"/>
    <n v="196.5"/>
    <x v="35"/>
    <d v="2025-02-05T00:00:00"/>
    <x v="2"/>
    <x v="1"/>
    <x v="1"/>
    <x v="0"/>
    <x v="8"/>
    <x v="7"/>
    <x v="5"/>
    <x v="2"/>
  </r>
  <r>
    <x v="866"/>
    <x v="12"/>
    <x v="1"/>
    <n v="116.2"/>
    <n v="232.4"/>
    <x v="35"/>
    <d v="2025-02-11T00:00:00"/>
    <x v="1"/>
    <x v="3"/>
    <x v="0"/>
    <x v="0"/>
    <x v="17"/>
    <x v="4"/>
    <x v="5"/>
    <x v="1"/>
  </r>
  <r>
    <x v="867"/>
    <x v="10"/>
    <x v="12"/>
    <n v="22.9"/>
    <n v="91.6"/>
    <x v="35"/>
    <d v="2025-02-07T00:00:00"/>
    <x v="2"/>
    <x v="2"/>
    <x v="1"/>
    <x v="0"/>
    <x v="38"/>
    <x v="1"/>
    <x v="5"/>
    <x v="2"/>
  </r>
  <r>
    <x v="868"/>
    <x v="10"/>
    <x v="2"/>
    <n v="53.7"/>
    <n v="161.10000000000002"/>
    <x v="35"/>
    <d v="2025-02-06T00:00:00"/>
    <x v="1"/>
    <x v="0"/>
    <x v="4"/>
    <x v="0"/>
    <x v="18"/>
    <x v="3"/>
    <x v="5"/>
    <x v="1"/>
  </r>
  <r>
    <x v="869"/>
    <x v="6"/>
    <x v="9"/>
    <n v="43.2"/>
    <n v="216"/>
    <x v="35"/>
    <d v="2025-02-07T00:00:00"/>
    <x v="2"/>
    <x v="0"/>
    <x v="0"/>
    <x v="0"/>
    <x v="19"/>
    <x v="1"/>
    <x v="5"/>
    <x v="2"/>
  </r>
  <r>
    <x v="870"/>
    <x v="1"/>
    <x v="2"/>
    <n v="84.5"/>
    <n v="253.5"/>
    <x v="35"/>
    <d v="2025-02-07T00:00:00"/>
    <x v="1"/>
    <x v="2"/>
    <x v="2"/>
    <x v="0"/>
    <x v="51"/>
    <x v="1"/>
    <x v="5"/>
    <x v="1"/>
  </r>
  <r>
    <x v="871"/>
    <x v="3"/>
    <x v="1"/>
    <n v="42.2"/>
    <n v="84.4"/>
    <x v="35"/>
    <d v="2025-02-06T00:00:00"/>
    <x v="2"/>
    <x v="1"/>
    <x v="2"/>
    <x v="0"/>
    <x v="1"/>
    <x v="3"/>
    <x v="5"/>
    <x v="2"/>
  </r>
  <r>
    <x v="872"/>
    <x v="2"/>
    <x v="13"/>
    <n v="94.7"/>
    <n v="568.20000000000005"/>
    <x v="35"/>
    <d v="2025-02-08T00:00:00"/>
    <x v="2"/>
    <x v="1"/>
    <x v="2"/>
    <x v="0"/>
    <x v="2"/>
    <x v="2"/>
    <x v="5"/>
    <x v="2"/>
  </r>
  <r>
    <x v="873"/>
    <x v="8"/>
    <x v="16"/>
    <n v="16.7"/>
    <n v="300.59999999999997"/>
    <x v="35"/>
    <d v="2025-02-17T00:00:00"/>
    <x v="2"/>
    <x v="0"/>
    <x v="2"/>
    <x v="0"/>
    <x v="2"/>
    <x v="13"/>
    <x v="5"/>
    <x v="2"/>
  </r>
  <r>
    <x v="874"/>
    <x v="2"/>
    <x v="1"/>
    <n v="83.6"/>
    <n v="167.2"/>
    <x v="35"/>
    <d v="2025-02-11T00:00:00"/>
    <x v="2"/>
    <x v="1"/>
    <x v="0"/>
    <x v="0"/>
    <x v="3"/>
    <x v="4"/>
    <x v="5"/>
    <x v="2"/>
  </r>
  <r>
    <x v="875"/>
    <x v="7"/>
    <x v="13"/>
    <n v="33.6"/>
    <n v="201.60000000000002"/>
    <x v="36"/>
    <d v="2025-02-07T00:00:00"/>
    <x v="2"/>
    <x v="3"/>
    <x v="0"/>
    <x v="0"/>
    <x v="3"/>
    <x v="3"/>
    <x v="5"/>
    <x v="2"/>
  </r>
  <r>
    <x v="876"/>
    <x v="7"/>
    <x v="1"/>
    <n v="64.7"/>
    <n v="129.4"/>
    <x v="36"/>
    <d v="2025-02-08T00:00:00"/>
    <x v="1"/>
    <x v="1"/>
    <x v="2"/>
    <x v="0"/>
    <x v="3"/>
    <x v="1"/>
    <x v="5"/>
    <x v="1"/>
  </r>
  <r>
    <x v="877"/>
    <x v="0"/>
    <x v="2"/>
    <n v="15.7"/>
    <n v="47.099999999999994"/>
    <x v="36"/>
    <d v="2025-02-12T00:00:00"/>
    <x v="2"/>
    <x v="0"/>
    <x v="0"/>
    <x v="0"/>
    <x v="3"/>
    <x v="4"/>
    <x v="5"/>
    <x v="2"/>
  </r>
  <r>
    <x v="878"/>
    <x v="15"/>
    <x v="13"/>
    <n v="49.4"/>
    <n v="296.39999999999998"/>
    <x v="36"/>
    <d v="2025-02-06T00:00:00"/>
    <x v="1"/>
    <x v="1"/>
    <x v="0"/>
    <x v="0"/>
    <x v="3"/>
    <x v="7"/>
    <x v="5"/>
    <x v="1"/>
  </r>
  <r>
    <x v="879"/>
    <x v="10"/>
    <x v="13"/>
    <n v="37"/>
    <n v="222"/>
    <x v="36"/>
    <d v="2025-02-09T00:00:00"/>
    <x v="2"/>
    <x v="1"/>
    <x v="2"/>
    <x v="0"/>
    <x v="3"/>
    <x v="2"/>
    <x v="5"/>
    <x v="2"/>
  </r>
  <r>
    <x v="880"/>
    <x v="2"/>
    <x v="1"/>
    <n v="83.7"/>
    <n v="167.4"/>
    <x v="36"/>
    <d v="2025-02-08T00:00:00"/>
    <x v="2"/>
    <x v="3"/>
    <x v="2"/>
    <x v="0"/>
    <x v="3"/>
    <x v="1"/>
    <x v="5"/>
    <x v="2"/>
  </r>
  <r>
    <x v="881"/>
    <x v="1"/>
    <x v="9"/>
    <n v="35.1"/>
    <n v="175.5"/>
    <x v="36"/>
    <d v="2025-02-07T00:00:00"/>
    <x v="2"/>
    <x v="0"/>
    <x v="0"/>
    <x v="0"/>
    <x v="3"/>
    <x v="3"/>
    <x v="5"/>
    <x v="2"/>
  </r>
  <r>
    <x v="882"/>
    <x v="16"/>
    <x v="8"/>
    <n v="74"/>
    <n v="592"/>
    <x v="36"/>
    <d v="2025-02-07T00:00:00"/>
    <x v="2"/>
    <x v="4"/>
    <x v="0"/>
    <x v="0"/>
    <x v="37"/>
    <x v="3"/>
    <x v="5"/>
    <x v="2"/>
  </r>
  <r>
    <x v="883"/>
    <x v="6"/>
    <x v="25"/>
    <n v="55.5"/>
    <n v="1332"/>
    <x v="36"/>
    <d v="2025-02-09T00:00:00"/>
    <x v="1"/>
    <x v="3"/>
    <x v="0"/>
    <x v="0"/>
    <x v="49"/>
    <x v="2"/>
    <x v="5"/>
    <x v="1"/>
  </r>
  <r>
    <x v="884"/>
    <x v="11"/>
    <x v="1"/>
    <n v="38.9"/>
    <n v="77.8"/>
    <x v="36"/>
    <d v="2025-02-08T00:00:00"/>
    <x v="2"/>
    <x v="1"/>
    <x v="2"/>
    <x v="0"/>
    <x v="25"/>
    <x v="1"/>
    <x v="5"/>
    <x v="2"/>
  </r>
  <r>
    <x v="885"/>
    <x v="16"/>
    <x v="1"/>
    <n v="64.599999999999994"/>
    <n v="129.19999999999999"/>
    <x v="36"/>
    <d v="2025-02-13T00:00:00"/>
    <x v="1"/>
    <x v="2"/>
    <x v="1"/>
    <x v="0"/>
    <x v="25"/>
    <x v="6"/>
    <x v="5"/>
    <x v="1"/>
  </r>
  <r>
    <x v="886"/>
    <x v="2"/>
    <x v="2"/>
    <n v="95.3"/>
    <n v="285.89999999999998"/>
    <x v="36"/>
    <d v="2025-02-07T00:00:00"/>
    <x v="1"/>
    <x v="0"/>
    <x v="0"/>
    <x v="0"/>
    <x v="5"/>
    <x v="3"/>
    <x v="5"/>
    <x v="1"/>
  </r>
  <r>
    <x v="887"/>
    <x v="13"/>
    <x v="2"/>
    <n v="25.8"/>
    <n v="77.400000000000006"/>
    <x v="36"/>
    <d v="2025-02-07T00:00:00"/>
    <x v="2"/>
    <x v="1"/>
    <x v="1"/>
    <x v="0"/>
    <x v="6"/>
    <x v="3"/>
    <x v="5"/>
    <x v="2"/>
  </r>
  <r>
    <x v="888"/>
    <x v="0"/>
    <x v="1"/>
    <n v="11.6"/>
    <n v="23.2"/>
    <x v="36"/>
    <d v="2025-02-10T00:00:00"/>
    <x v="2"/>
    <x v="1"/>
    <x v="1"/>
    <x v="0"/>
    <x v="6"/>
    <x v="5"/>
    <x v="5"/>
    <x v="2"/>
  </r>
  <r>
    <x v="889"/>
    <x v="7"/>
    <x v="0"/>
    <n v="52.3"/>
    <n v="52.3"/>
    <x v="36"/>
    <d v="2025-02-07T00:00:00"/>
    <x v="2"/>
    <x v="1"/>
    <x v="0"/>
    <x v="0"/>
    <x v="8"/>
    <x v="3"/>
    <x v="5"/>
    <x v="2"/>
  </r>
  <r>
    <x v="890"/>
    <x v="2"/>
    <x v="7"/>
    <n v="112.2"/>
    <n v="1122"/>
    <x v="36"/>
    <d v="2025-02-07T00:00:00"/>
    <x v="2"/>
    <x v="1"/>
    <x v="1"/>
    <x v="0"/>
    <x v="8"/>
    <x v="3"/>
    <x v="5"/>
    <x v="2"/>
  </r>
  <r>
    <x v="891"/>
    <x v="4"/>
    <x v="9"/>
    <n v="34.6"/>
    <n v="173"/>
    <x v="36"/>
    <d v="2025-02-08T00:00:00"/>
    <x v="1"/>
    <x v="2"/>
    <x v="0"/>
    <x v="0"/>
    <x v="8"/>
    <x v="1"/>
    <x v="5"/>
    <x v="1"/>
  </r>
  <r>
    <x v="892"/>
    <x v="14"/>
    <x v="12"/>
    <n v="20.100000000000001"/>
    <n v="80.400000000000006"/>
    <x v="36"/>
    <d v="2025-02-12T00:00:00"/>
    <x v="1"/>
    <x v="1"/>
    <x v="2"/>
    <x v="0"/>
    <x v="8"/>
    <x v="4"/>
    <x v="5"/>
    <x v="1"/>
  </r>
  <r>
    <x v="893"/>
    <x v="2"/>
    <x v="12"/>
    <n v="56.4"/>
    <n v="225.6"/>
    <x v="36"/>
    <d v="2025-02-08T00:00:00"/>
    <x v="2"/>
    <x v="2"/>
    <x v="0"/>
    <x v="0"/>
    <x v="10"/>
    <x v="1"/>
    <x v="5"/>
    <x v="2"/>
  </r>
  <r>
    <x v="894"/>
    <x v="13"/>
    <x v="11"/>
    <n v="55.3"/>
    <n v="497.7"/>
    <x v="36"/>
    <d v="2025-02-08T00:00:00"/>
    <x v="2"/>
    <x v="1"/>
    <x v="4"/>
    <x v="0"/>
    <x v="11"/>
    <x v="1"/>
    <x v="5"/>
    <x v="2"/>
  </r>
  <r>
    <x v="895"/>
    <x v="2"/>
    <x v="31"/>
    <n v="75.5"/>
    <n v="2114"/>
    <x v="36"/>
    <d v="2025-02-07T00:00:00"/>
    <x v="2"/>
    <x v="0"/>
    <x v="0"/>
    <x v="0"/>
    <x v="11"/>
    <x v="3"/>
    <x v="5"/>
    <x v="2"/>
  </r>
  <r>
    <x v="896"/>
    <x v="8"/>
    <x v="0"/>
    <n v="23.6"/>
    <n v="23.6"/>
    <x v="36"/>
    <d v="2025-02-11T00:00:00"/>
    <x v="2"/>
    <x v="0"/>
    <x v="0"/>
    <x v="0"/>
    <x v="19"/>
    <x v="0"/>
    <x v="5"/>
    <x v="2"/>
  </r>
  <r>
    <x v="897"/>
    <x v="9"/>
    <x v="1"/>
    <n v="70.7"/>
    <n v="141.4"/>
    <x v="36"/>
    <d v="2025-02-08T00:00:00"/>
    <x v="2"/>
    <x v="2"/>
    <x v="0"/>
    <x v="0"/>
    <x v="19"/>
    <x v="1"/>
    <x v="5"/>
    <x v="2"/>
  </r>
  <r>
    <x v="898"/>
    <x v="12"/>
    <x v="1"/>
    <n v="43.2"/>
    <n v="86.4"/>
    <x v="36"/>
    <d v="2025-02-07T00:00:00"/>
    <x v="2"/>
    <x v="2"/>
    <x v="0"/>
    <x v="0"/>
    <x v="31"/>
    <x v="3"/>
    <x v="5"/>
    <x v="2"/>
  </r>
  <r>
    <x v="899"/>
    <x v="9"/>
    <x v="11"/>
    <n v="70"/>
    <n v="630"/>
    <x v="36"/>
    <d v="2025-02-07T00:00:00"/>
    <x v="0"/>
    <x v="1"/>
    <x v="0"/>
    <x v="0"/>
    <x v="52"/>
    <x v="3"/>
    <x v="5"/>
    <x v="0"/>
  </r>
  <r>
    <x v="900"/>
    <x v="0"/>
    <x v="1"/>
    <n v="20.5"/>
    <n v="41"/>
    <x v="36"/>
    <d v="2025-02-08T00:00:00"/>
    <x v="2"/>
    <x v="2"/>
    <x v="4"/>
    <x v="0"/>
    <x v="13"/>
    <x v="1"/>
    <x v="5"/>
    <x v="2"/>
  </r>
  <r>
    <x v="901"/>
    <x v="0"/>
    <x v="12"/>
    <n v="29.1"/>
    <n v="116.4"/>
    <x v="36"/>
    <d v="2025-02-07T00:00:00"/>
    <x v="2"/>
    <x v="3"/>
    <x v="0"/>
    <x v="0"/>
    <x v="28"/>
    <x v="3"/>
    <x v="5"/>
    <x v="2"/>
  </r>
  <r>
    <x v="902"/>
    <x v="6"/>
    <x v="11"/>
    <n v="53.6"/>
    <n v="482.40000000000003"/>
    <x v="36"/>
    <d v="2025-02-07T00:00:00"/>
    <x v="1"/>
    <x v="2"/>
    <x v="1"/>
    <x v="0"/>
    <x v="3"/>
    <x v="3"/>
    <x v="5"/>
    <x v="1"/>
  </r>
  <r>
    <x v="903"/>
    <x v="6"/>
    <x v="9"/>
    <n v="72.3"/>
    <n v="361.5"/>
    <x v="36"/>
    <d v="2025-02-08T00:00:00"/>
    <x v="2"/>
    <x v="1"/>
    <x v="0"/>
    <x v="0"/>
    <x v="3"/>
    <x v="1"/>
    <x v="5"/>
    <x v="2"/>
  </r>
  <r>
    <x v="904"/>
    <x v="13"/>
    <x v="12"/>
    <n v="22.6"/>
    <n v="90.4"/>
    <x v="36"/>
    <d v="2025-02-09T00:00:00"/>
    <x v="3"/>
    <x v="0"/>
    <x v="1"/>
    <x v="0"/>
    <x v="3"/>
    <x v="2"/>
    <x v="5"/>
    <x v="3"/>
  </r>
  <r>
    <x v="905"/>
    <x v="9"/>
    <x v="1"/>
    <n v="44.2"/>
    <n v="88.4"/>
    <x v="36"/>
    <d v="2025-02-10T00:00:00"/>
    <x v="0"/>
    <x v="2"/>
    <x v="4"/>
    <x v="0"/>
    <x v="3"/>
    <x v="5"/>
    <x v="5"/>
    <x v="0"/>
  </r>
  <r>
    <x v="906"/>
    <x v="9"/>
    <x v="2"/>
    <n v="94.1"/>
    <n v="282.29999999999995"/>
    <x v="36"/>
    <d v="2025-02-19T00:00:00"/>
    <x v="2"/>
    <x v="2"/>
    <x v="2"/>
    <x v="0"/>
    <x v="3"/>
    <x v="10"/>
    <x v="5"/>
    <x v="2"/>
  </r>
  <r>
    <x v="907"/>
    <x v="8"/>
    <x v="2"/>
    <n v="17.899999999999999"/>
    <n v="53.699999999999996"/>
    <x v="36"/>
    <d v="2025-02-08T00:00:00"/>
    <x v="1"/>
    <x v="1"/>
    <x v="1"/>
    <x v="0"/>
    <x v="3"/>
    <x v="1"/>
    <x v="5"/>
    <x v="1"/>
  </r>
  <r>
    <x v="908"/>
    <x v="12"/>
    <x v="3"/>
    <n v="52.7"/>
    <n v="368.90000000000003"/>
    <x v="36"/>
    <d v="2025-02-07T00:00:00"/>
    <x v="1"/>
    <x v="1"/>
    <x v="1"/>
    <x v="0"/>
    <x v="3"/>
    <x v="3"/>
    <x v="5"/>
    <x v="1"/>
  </r>
  <r>
    <x v="909"/>
    <x v="8"/>
    <x v="0"/>
    <n v="36.799999999999997"/>
    <n v="36.799999999999997"/>
    <x v="36"/>
    <d v="2025-02-06T00:00:00"/>
    <x v="0"/>
    <x v="0"/>
    <x v="2"/>
    <x v="0"/>
    <x v="3"/>
    <x v="7"/>
    <x v="5"/>
    <x v="0"/>
  </r>
  <r>
    <x v="910"/>
    <x v="4"/>
    <x v="0"/>
    <n v="52.5"/>
    <n v="52.5"/>
    <x v="36"/>
    <d v="2025-02-07T00:00:00"/>
    <x v="1"/>
    <x v="0"/>
    <x v="1"/>
    <x v="0"/>
    <x v="6"/>
    <x v="3"/>
    <x v="5"/>
    <x v="1"/>
  </r>
  <r>
    <x v="911"/>
    <x v="2"/>
    <x v="1"/>
    <n v="133.80000000000001"/>
    <n v="267.60000000000002"/>
    <x v="36"/>
    <d v="2025-02-08T00:00:00"/>
    <x v="1"/>
    <x v="0"/>
    <x v="1"/>
    <x v="0"/>
    <x v="7"/>
    <x v="1"/>
    <x v="5"/>
    <x v="1"/>
  </r>
  <r>
    <x v="912"/>
    <x v="6"/>
    <x v="1"/>
    <n v="53.2"/>
    <n v="106.4"/>
    <x v="36"/>
    <d v="2025-02-08T00:00:00"/>
    <x v="1"/>
    <x v="0"/>
    <x v="0"/>
    <x v="0"/>
    <x v="17"/>
    <x v="1"/>
    <x v="5"/>
    <x v="1"/>
  </r>
  <r>
    <x v="913"/>
    <x v="14"/>
    <x v="13"/>
    <n v="18.7"/>
    <n v="112.19999999999999"/>
    <x v="36"/>
    <d v="2025-02-08T00:00:00"/>
    <x v="0"/>
    <x v="0"/>
    <x v="1"/>
    <x v="0"/>
    <x v="10"/>
    <x v="1"/>
    <x v="5"/>
    <x v="0"/>
  </r>
  <r>
    <x v="914"/>
    <x v="6"/>
    <x v="12"/>
    <n v="108.8"/>
    <n v="435.2"/>
    <x v="36"/>
    <d v="2025-02-07T00:00:00"/>
    <x v="2"/>
    <x v="3"/>
    <x v="2"/>
    <x v="0"/>
    <x v="11"/>
    <x v="3"/>
    <x v="5"/>
    <x v="2"/>
  </r>
  <r>
    <x v="915"/>
    <x v="15"/>
    <x v="9"/>
    <n v="38.5"/>
    <n v="192.5"/>
    <x v="36"/>
    <d v="2025-02-10T00:00:00"/>
    <x v="2"/>
    <x v="0"/>
    <x v="1"/>
    <x v="0"/>
    <x v="14"/>
    <x v="5"/>
    <x v="5"/>
    <x v="2"/>
  </r>
  <r>
    <x v="916"/>
    <x v="10"/>
    <x v="7"/>
    <n v="46.5"/>
    <n v="465"/>
    <x v="36"/>
    <d v="2025-02-08T00:00:00"/>
    <x v="1"/>
    <x v="2"/>
    <x v="1"/>
    <x v="0"/>
    <x v="2"/>
    <x v="1"/>
    <x v="5"/>
    <x v="1"/>
  </r>
  <r>
    <x v="917"/>
    <x v="2"/>
    <x v="2"/>
    <n v="75.8"/>
    <n v="227.39999999999998"/>
    <x v="36"/>
    <d v="2025-02-10T00:00:00"/>
    <x v="2"/>
    <x v="1"/>
    <x v="4"/>
    <x v="0"/>
    <x v="44"/>
    <x v="5"/>
    <x v="5"/>
    <x v="2"/>
  </r>
  <r>
    <x v="918"/>
    <x v="8"/>
    <x v="0"/>
    <n v="20.9"/>
    <n v="20.9"/>
    <x v="36"/>
    <d v="2025-02-10T00:00:00"/>
    <x v="1"/>
    <x v="0"/>
    <x v="0"/>
    <x v="0"/>
    <x v="22"/>
    <x v="5"/>
    <x v="5"/>
    <x v="1"/>
  </r>
  <r>
    <x v="919"/>
    <x v="18"/>
    <x v="2"/>
    <n v="47.4"/>
    <n v="142.19999999999999"/>
    <x v="36"/>
    <d v="2025-02-09T00:00:00"/>
    <x v="2"/>
    <x v="0"/>
    <x v="0"/>
    <x v="0"/>
    <x v="3"/>
    <x v="2"/>
    <x v="5"/>
    <x v="2"/>
  </r>
  <r>
    <x v="920"/>
    <x v="9"/>
    <x v="1"/>
    <n v="53.8"/>
    <n v="107.6"/>
    <x v="36"/>
    <d v="2025-02-07T00:00:00"/>
    <x v="0"/>
    <x v="0"/>
    <x v="1"/>
    <x v="0"/>
    <x v="3"/>
    <x v="3"/>
    <x v="5"/>
    <x v="0"/>
  </r>
  <r>
    <x v="921"/>
    <x v="8"/>
    <x v="2"/>
    <n v="24.6"/>
    <n v="73.800000000000011"/>
    <x v="36"/>
    <d v="2025-02-08T00:00:00"/>
    <x v="3"/>
    <x v="1"/>
    <x v="2"/>
    <x v="0"/>
    <x v="3"/>
    <x v="1"/>
    <x v="5"/>
    <x v="3"/>
  </r>
  <r>
    <x v="922"/>
    <x v="9"/>
    <x v="2"/>
    <n v="70.900000000000006"/>
    <n v="212.70000000000002"/>
    <x v="36"/>
    <d v="2025-02-11T00:00:00"/>
    <x v="2"/>
    <x v="2"/>
    <x v="2"/>
    <x v="0"/>
    <x v="3"/>
    <x v="0"/>
    <x v="5"/>
    <x v="2"/>
  </r>
  <r>
    <x v="923"/>
    <x v="17"/>
    <x v="2"/>
    <n v="31.9"/>
    <n v="95.699999999999989"/>
    <x v="36"/>
    <d v="2025-02-08T00:00:00"/>
    <x v="2"/>
    <x v="2"/>
    <x v="2"/>
    <x v="0"/>
    <x v="3"/>
    <x v="1"/>
    <x v="5"/>
    <x v="2"/>
  </r>
  <r>
    <x v="924"/>
    <x v="0"/>
    <x v="1"/>
    <n v="20.399999999999999"/>
    <n v="40.799999999999997"/>
    <x v="36"/>
    <d v="2025-02-10T00:00:00"/>
    <x v="1"/>
    <x v="3"/>
    <x v="2"/>
    <x v="0"/>
    <x v="3"/>
    <x v="5"/>
    <x v="5"/>
    <x v="1"/>
  </r>
  <r>
    <x v="925"/>
    <x v="8"/>
    <x v="1"/>
    <n v="18.600000000000001"/>
    <n v="37.200000000000003"/>
    <x v="36"/>
    <d v="2025-02-08T00:00:00"/>
    <x v="0"/>
    <x v="0"/>
    <x v="1"/>
    <x v="0"/>
    <x v="3"/>
    <x v="1"/>
    <x v="5"/>
    <x v="0"/>
  </r>
  <r>
    <x v="926"/>
    <x v="4"/>
    <x v="9"/>
    <n v="48.3"/>
    <n v="241.5"/>
    <x v="36"/>
    <d v="2025-02-08T00:00:00"/>
    <x v="2"/>
    <x v="1"/>
    <x v="0"/>
    <x v="0"/>
    <x v="3"/>
    <x v="1"/>
    <x v="5"/>
    <x v="2"/>
  </r>
  <r>
    <x v="927"/>
    <x v="0"/>
    <x v="12"/>
    <n v="27.7"/>
    <n v="110.8"/>
    <x v="36"/>
    <d v="2025-02-08T00:00:00"/>
    <x v="2"/>
    <x v="0"/>
    <x v="0"/>
    <x v="0"/>
    <x v="3"/>
    <x v="1"/>
    <x v="5"/>
    <x v="2"/>
  </r>
  <r>
    <x v="928"/>
    <x v="4"/>
    <x v="9"/>
    <n v="22.5"/>
    <n v="112.5"/>
    <x v="36"/>
    <d v="2025-02-08T00:00:00"/>
    <x v="2"/>
    <x v="4"/>
    <x v="2"/>
    <x v="0"/>
    <x v="3"/>
    <x v="1"/>
    <x v="5"/>
    <x v="2"/>
  </r>
  <r>
    <x v="929"/>
    <x v="17"/>
    <x v="9"/>
    <n v="21.6"/>
    <n v="108"/>
    <x v="36"/>
    <d v="2025-02-14T00:00:00"/>
    <x v="2"/>
    <x v="0"/>
    <x v="1"/>
    <x v="0"/>
    <x v="3"/>
    <x v="9"/>
    <x v="5"/>
    <x v="2"/>
  </r>
  <r>
    <x v="930"/>
    <x v="10"/>
    <x v="3"/>
    <n v="26.3"/>
    <n v="184.1"/>
    <x v="36"/>
    <d v="2025-02-06T00:00:00"/>
    <x v="2"/>
    <x v="2"/>
    <x v="1"/>
    <x v="0"/>
    <x v="3"/>
    <x v="7"/>
    <x v="5"/>
    <x v="2"/>
  </r>
  <r>
    <x v="931"/>
    <x v="6"/>
    <x v="3"/>
    <n v="103"/>
    <n v="721"/>
    <x v="37"/>
    <d v="2025-02-08T00:00:00"/>
    <x v="1"/>
    <x v="0"/>
    <x v="2"/>
    <x v="0"/>
    <x v="6"/>
    <x v="3"/>
    <x v="5"/>
    <x v="1"/>
  </r>
  <r>
    <x v="932"/>
    <x v="5"/>
    <x v="20"/>
    <n v="46.6"/>
    <n v="699"/>
    <x v="37"/>
    <d v="2025-02-08T00:00:00"/>
    <x v="2"/>
    <x v="0"/>
    <x v="1"/>
    <x v="0"/>
    <x v="6"/>
    <x v="3"/>
    <x v="5"/>
    <x v="2"/>
  </r>
  <r>
    <x v="933"/>
    <x v="0"/>
    <x v="9"/>
    <n v="32.200000000000003"/>
    <n v="161"/>
    <x v="37"/>
    <d v="2025-02-10T00:00:00"/>
    <x v="2"/>
    <x v="0"/>
    <x v="2"/>
    <x v="0"/>
    <x v="36"/>
    <x v="2"/>
    <x v="5"/>
    <x v="2"/>
  </r>
  <r>
    <x v="934"/>
    <x v="8"/>
    <x v="2"/>
    <n v="22"/>
    <n v="66"/>
    <x v="37"/>
    <d v="2025-02-14T00:00:00"/>
    <x v="1"/>
    <x v="1"/>
    <x v="0"/>
    <x v="0"/>
    <x v="7"/>
    <x v="6"/>
    <x v="5"/>
    <x v="1"/>
  </r>
  <r>
    <x v="935"/>
    <x v="0"/>
    <x v="1"/>
    <n v="25.2"/>
    <n v="50.4"/>
    <x v="37"/>
    <d v="2025-02-11T00:00:00"/>
    <x v="2"/>
    <x v="0"/>
    <x v="0"/>
    <x v="0"/>
    <x v="7"/>
    <x v="5"/>
    <x v="5"/>
    <x v="2"/>
  </r>
  <r>
    <x v="936"/>
    <x v="1"/>
    <x v="13"/>
    <n v="68.7"/>
    <n v="412.20000000000005"/>
    <x v="37"/>
    <d v="2025-02-09T00:00:00"/>
    <x v="1"/>
    <x v="4"/>
    <x v="0"/>
    <x v="0"/>
    <x v="8"/>
    <x v="1"/>
    <x v="5"/>
    <x v="1"/>
  </r>
  <r>
    <x v="937"/>
    <x v="0"/>
    <x v="2"/>
    <n v="22.2"/>
    <n v="66.599999999999994"/>
    <x v="37"/>
    <d v="2025-02-10T00:00:00"/>
    <x v="1"/>
    <x v="2"/>
    <x v="2"/>
    <x v="0"/>
    <x v="8"/>
    <x v="2"/>
    <x v="5"/>
    <x v="1"/>
  </r>
  <r>
    <x v="938"/>
    <x v="1"/>
    <x v="3"/>
    <n v="36"/>
    <n v="252"/>
    <x v="37"/>
    <d v="2025-02-08T00:00:00"/>
    <x v="2"/>
    <x v="1"/>
    <x v="0"/>
    <x v="0"/>
    <x v="8"/>
    <x v="3"/>
    <x v="5"/>
    <x v="2"/>
  </r>
  <r>
    <x v="939"/>
    <x v="18"/>
    <x v="0"/>
    <n v="50.6"/>
    <n v="50.6"/>
    <x v="37"/>
    <d v="2025-02-09T00:00:00"/>
    <x v="2"/>
    <x v="0"/>
    <x v="1"/>
    <x v="0"/>
    <x v="8"/>
    <x v="1"/>
    <x v="5"/>
    <x v="2"/>
  </r>
  <r>
    <x v="940"/>
    <x v="15"/>
    <x v="1"/>
    <n v="44.9"/>
    <n v="89.8"/>
    <x v="37"/>
    <d v="2025-02-09T00:00:00"/>
    <x v="1"/>
    <x v="0"/>
    <x v="1"/>
    <x v="0"/>
    <x v="8"/>
    <x v="1"/>
    <x v="5"/>
    <x v="1"/>
  </r>
  <r>
    <x v="941"/>
    <x v="6"/>
    <x v="2"/>
    <n v="71.599999999999994"/>
    <n v="214.79999999999998"/>
    <x v="37"/>
    <d v="2025-02-11T00:00:00"/>
    <x v="1"/>
    <x v="1"/>
    <x v="2"/>
    <x v="0"/>
    <x v="10"/>
    <x v="5"/>
    <x v="5"/>
    <x v="1"/>
  </r>
  <r>
    <x v="942"/>
    <x v="6"/>
    <x v="13"/>
    <n v="51.5"/>
    <n v="309"/>
    <x v="37"/>
    <d v="2025-02-09T00:00:00"/>
    <x v="0"/>
    <x v="4"/>
    <x v="0"/>
    <x v="0"/>
    <x v="11"/>
    <x v="1"/>
    <x v="5"/>
    <x v="0"/>
  </r>
  <r>
    <x v="943"/>
    <x v="7"/>
    <x v="9"/>
    <n v="55.5"/>
    <n v="277.5"/>
    <x v="37"/>
    <d v="2025-02-08T00:00:00"/>
    <x v="1"/>
    <x v="1"/>
    <x v="1"/>
    <x v="0"/>
    <x v="11"/>
    <x v="3"/>
    <x v="5"/>
    <x v="1"/>
  </r>
  <r>
    <x v="944"/>
    <x v="6"/>
    <x v="0"/>
    <n v="51.7"/>
    <n v="51.7"/>
    <x v="37"/>
    <d v="2025-02-21T00:00:00"/>
    <x v="1"/>
    <x v="2"/>
    <x v="0"/>
    <x v="0"/>
    <x v="19"/>
    <x v="12"/>
    <x v="5"/>
    <x v="1"/>
  </r>
  <r>
    <x v="945"/>
    <x v="8"/>
    <x v="38"/>
    <n v="45.5"/>
    <n v="955.5"/>
    <x v="37"/>
    <d v="2025-02-08T00:00:00"/>
    <x v="2"/>
    <x v="3"/>
    <x v="2"/>
    <x v="0"/>
    <x v="19"/>
    <x v="3"/>
    <x v="5"/>
    <x v="2"/>
  </r>
  <r>
    <x v="946"/>
    <x v="8"/>
    <x v="1"/>
    <n v="33.799999999999997"/>
    <n v="67.599999999999994"/>
    <x v="37"/>
    <d v="2025-02-13T00:00:00"/>
    <x v="2"/>
    <x v="3"/>
    <x v="0"/>
    <x v="0"/>
    <x v="20"/>
    <x v="4"/>
    <x v="5"/>
    <x v="2"/>
  </r>
  <r>
    <x v="947"/>
    <x v="3"/>
    <x v="2"/>
    <n v="76.5"/>
    <n v="229.5"/>
    <x v="37"/>
    <d v="2025-02-08T00:00:00"/>
    <x v="2"/>
    <x v="0"/>
    <x v="1"/>
    <x v="0"/>
    <x v="21"/>
    <x v="3"/>
    <x v="5"/>
    <x v="2"/>
  </r>
  <r>
    <x v="948"/>
    <x v="9"/>
    <x v="2"/>
    <n v="42.6"/>
    <n v="127.80000000000001"/>
    <x v="37"/>
    <d v="2025-02-13T00:00:00"/>
    <x v="2"/>
    <x v="2"/>
    <x v="2"/>
    <x v="0"/>
    <x v="2"/>
    <x v="4"/>
    <x v="5"/>
    <x v="2"/>
  </r>
  <r>
    <x v="949"/>
    <x v="6"/>
    <x v="2"/>
    <n v="44.1"/>
    <n v="132.30000000000001"/>
    <x v="37"/>
    <d v="2025-02-09T00:00:00"/>
    <x v="2"/>
    <x v="1"/>
    <x v="1"/>
    <x v="0"/>
    <x v="22"/>
    <x v="1"/>
    <x v="5"/>
    <x v="2"/>
  </r>
  <r>
    <x v="950"/>
    <x v="8"/>
    <x v="1"/>
    <n v="40.9"/>
    <n v="81.8"/>
    <x v="37"/>
    <d v="2025-02-11T00:00:00"/>
    <x v="1"/>
    <x v="0"/>
    <x v="0"/>
    <x v="0"/>
    <x v="3"/>
    <x v="5"/>
    <x v="5"/>
    <x v="1"/>
  </r>
  <r>
    <x v="951"/>
    <x v="9"/>
    <x v="2"/>
    <n v="49.1"/>
    <n v="147.30000000000001"/>
    <x v="37"/>
    <d v="2025-02-11T00:00:00"/>
    <x v="2"/>
    <x v="3"/>
    <x v="1"/>
    <x v="0"/>
    <x v="3"/>
    <x v="5"/>
    <x v="5"/>
    <x v="2"/>
  </r>
  <r>
    <x v="952"/>
    <x v="18"/>
    <x v="0"/>
    <n v="85.3"/>
    <n v="85.3"/>
    <x v="37"/>
    <d v="2025-02-11T00:00:00"/>
    <x v="1"/>
    <x v="1"/>
    <x v="1"/>
    <x v="0"/>
    <x v="3"/>
    <x v="5"/>
    <x v="5"/>
    <x v="1"/>
  </r>
  <r>
    <x v="953"/>
    <x v="6"/>
    <x v="12"/>
    <n v="43.1"/>
    <n v="172.4"/>
    <x v="38"/>
    <d v="2025-02-11T00:00:00"/>
    <x v="1"/>
    <x v="0"/>
    <x v="0"/>
    <x v="0"/>
    <x v="3"/>
    <x v="2"/>
    <x v="5"/>
    <x v="1"/>
  </r>
  <r>
    <x v="954"/>
    <x v="4"/>
    <x v="12"/>
    <n v="46.2"/>
    <n v="184.8"/>
    <x v="38"/>
    <d v="2025-02-09T00:00:00"/>
    <x v="1"/>
    <x v="2"/>
    <x v="0"/>
    <x v="0"/>
    <x v="3"/>
    <x v="3"/>
    <x v="5"/>
    <x v="1"/>
  </r>
  <r>
    <x v="955"/>
    <x v="1"/>
    <x v="0"/>
    <n v="74.400000000000006"/>
    <n v="74.400000000000006"/>
    <x v="38"/>
    <d v="2025-02-10T00:00:00"/>
    <x v="1"/>
    <x v="4"/>
    <x v="2"/>
    <x v="0"/>
    <x v="3"/>
    <x v="1"/>
    <x v="5"/>
    <x v="1"/>
  </r>
  <r>
    <x v="956"/>
    <x v="17"/>
    <x v="1"/>
    <n v="51.2"/>
    <n v="102.4"/>
    <x v="38"/>
    <d v="2025-02-09T00:00:00"/>
    <x v="1"/>
    <x v="1"/>
    <x v="0"/>
    <x v="0"/>
    <x v="3"/>
    <x v="3"/>
    <x v="5"/>
    <x v="1"/>
  </r>
  <r>
    <x v="957"/>
    <x v="14"/>
    <x v="12"/>
    <n v="11.8"/>
    <n v="47.2"/>
    <x v="38"/>
    <d v="2025-02-08T00:00:00"/>
    <x v="1"/>
    <x v="2"/>
    <x v="0"/>
    <x v="0"/>
    <x v="3"/>
    <x v="7"/>
    <x v="5"/>
    <x v="1"/>
  </r>
  <r>
    <x v="958"/>
    <x v="10"/>
    <x v="6"/>
    <n v="40.799999999999997"/>
    <n v="1101.5999999999999"/>
    <x v="38"/>
    <d v="2025-02-09T00:00:00"/>
    <x v="2"/>
    <x v="3"/>
    <x v="2"/>
    <x v="0"/>
    <x v="3"/>
    <x v="3"/>
    <x v="5"/>
    <x v="2"/>
  </r>
  <r>
    <x v="959"/>
    <x v="8"/>
    <x v="0"/>
    <n v="24.7"/>
    <n v="24.7"/>
    <x v="38"/>
    <d v="2025-02-10T00:00:00"/>
    <x v="2"/>
    <x v="2"/>
    <x v="1"/>
    <x v="0"/>
    <x v="3"/>
    <x v="1"/>
    <x v="5"/>
    <x v="2"/>
  </r>
  <r>
    <x v="960"/>
    <x v="8"/>
    <x v="3"/>
    <n v="22.1"/>
    <n v="154.70000000000002"/>
    <x v="38"/>
    <d v="2025-02-08T00:00:00"/>
    <x v="2"/>
    <x v="2"/>
    <x v="4"/>
    <x v="0"/>
    <x v="3"/>
    <x v="7"/>
    <x v="5"/>
    <x v="2"/>
  </r>
  <r>
    <x v="961"/>
    <x v="8"/>
    <x v="0"/>
    <n v="18.100000000000001"/>
    <n v="18.100000000000001"/>
    <x v="38"/>
    <d v="2025-02-12T00:00:00"/>
    <x v="1"/>
    <x v="3"/>
    <x v="2"/>
    <x v="0"/>
    <x v="3"/>
    <x v="5"/>
    <x v="5"/>
    <x v="1"/>
  </r>
  <r>
    <x v="962"/>
    <x v="17"/>
    <x v="1"/>
    <n v="58.8"/>
    <n v="117.6"/>
    <x v="38"/>
    <d v="2025-02-11T00:00:00"/>
    <x v="2"/>
    <x v="0"/>
    <x v="0"/>
    <x v="0"/>
    <x v="25"/>
    <x v="2"/>
    <x v="5"/>
    <x v="2"/>
  </r>
  <r>
    <x v="963"/>
    <x v="18"/>
    <x v="1"/>
    <n v="30.8"/>
    <n v="61.6"/>
    <x v="38"/>
    <d v="2025-02-09T00:00:00"/>
    <x v="2"/>
    <x v="0"/>
    <x v="0"/>
    <x v="0"/>
    <x v="6"/>
    <x v="3"/>
    <x v="5"/>
    <x v="2"/>
  </r>
  <r>
    <x v="964"/>
    <x v="0"/>
    <x v="1"/>
    <n v="12"/>
    <n v="24"/>
    <x v="38"/>
    <d v="2025-02-12T00:00:00"/>
    <x v="2"/>
    <x v="0"/>
    <x v="0"/>
    <x v="0"/>
    <x v="6"/>
    <x v="5"/>
    <x v="5"/>
    <x v="2"/>
  </r>
  <r>
    <x v="965"/>
    <x v="0"/>
    <x v="12"/>
    <n v="13.6"/>
    <n v="54.4"/>
    <x v="38"/>
    <d v="2025-02-11T00:00:00"/>
    <x v="1"/>
    <x v="2"/>
    <x v="0"/>
    <x v="0"/>
    <x v="6"/>
    <x v="2"/>
    <x v="5"/>
    <x v="1"/>
  </r>
  <r>
    <x v="966"/>
    <x v="0"/>
    <x v="0"/>
    <n v="17.899999999999999"/>
    <n v="17.899999999999999"/>
    <x v="38"/>
    <d v="2025-02-09T00:00:00"/>
    <x v="1"/>
    <x v="3"/>
    <x v="0"/>
    <x v="0"/>
    <x v="6"/>
    <x v="3"/>
    <x v="5"/>
    <x v="1"/>
  </r>
  <r>
    <x v="967"/>
    <x v="9"/>
    <x v="1"/>
    <n v="38.6"/>
    <n v="77.2"/>
    <x v="38"/>
    <d v="2025-02-12T00:00:00"/>
    <x v="2"/>
    <x v="4"/>
    <x v="0"/>
    <x v="0"/>
    <x v="7"/>
    <x v="5"/>
    <x v="5"/>
    <x v="2"/>
  </r>
  <r>
    <x v="968"/>
    <x v="5"/>
    <x v="9"/>
    <n v="32.700000000000003"/>
    <n v="163.5"/>
    <x v="38"/>
    <d v="2025-02-09T00:00:00"/>
    <x v="1"/>
    <x v="2"/>
    <x v="2"/>
    <x v="0"/>
    <x v="8"/>
    <x v="3"/>
    <x v="5"/>
    <x v="1"/>
  </r>
  <r>
    <x v="969"/>
    <x v="3"/>
    <x v="1"/>
    <n v="111.4"/>
    <n v="222.8"/>
    <x v="38"/>
    <d v="2025-02-09T00:00:00"/>
    <x v="2"/>
    <x v="1"/>
    <x v="0"/>
    <x v="0"/>
    <x v="8"/>
    <x v="3"/>
    <x v="5"/>
    <x v="2"/>
  </r>
  <r>
    <x v="970"/>
    <x v="2"/>
    <x v="13"/>
    <n v="80.3"/>
    <n v="481.79999999999995"/>
    <x v="38"/>
    <d v="2025-02-10T00:00:00"/>
    <x v="2"/>
    <x v="1"/>
    <x v="0"/>
    <x v="0"/>
    <x v="8"/>
    <x v="1"/>
    <x v="5"/>
    <x v="2"/>
  </r>
  <r>
    <x v="971"/>
    <x v="6"/>
    <x v="1"/>
    <n v="58.9"/>
    <n v="117.8"/>
    <x v="38"/>
    <d v="2025-02-09T00:00:00"/>
    <x v="1"/>
    <x v="1"/>
    <x v="0"/>
    <x v="0"/>
    <x v="8"/>
    <x v="3"/>
    <x v="5"/>
    <x v="1"/>
  </r>
  <r>
    <x v="972"/>
    <x v="6"/>
    <x v="2"/>
    <n v="51.9"/>
    <n v="155.69999999999999"/>
    <x v="38"/>
    <d v="2025-02-10T00:00:00"/>
    <x v="2"/>
    <x v="1"/>
    <x v="4"/>
    <x v="0"/>
    <x v="8"/>
    <x v="1"/>
    <x v="5"/>
    <x v="2"/>
  </r>
  <r>
    <x v="973"/>
    <x v="2"/>
    <x v="2"/>
    <n v="50.3"/>
    <n v="150.89999999999998"/>
    <x v="38"/>
    <d v="2025-02-09T00:00:00"/>
    <x v="1"/>
    <x v="2"/>
    <x v="0"/>
    <x v="0"/>
    <x v="17"/>
    <x v="3"/>
    <x v="5"/>
    <x v="1"/>
  </r>
  <r>
    <x v="974"/>
    <x v="11"/>
    <x v="13"/>
    <n v="45"/>
    <n v="270"/>
    <x v="38"/>
    <d v="2025-02-14T00:00:00"/>
    <x v="2"/>
    <x v="3"/>
    <x v="0"/>
    <x v="0"/>
    <x v="9"/>
    <x v="4"/>
    <x v="5"/>
    <x v="2"/>
  </r>
  <r>
    <x v="975"/>
    <x v="10"/>
    <x v="13"/>
    <n v="44.7"/>
    <n v="268.20000000000005"/>
    <x v="38"/>
    <d v="2025-02-10T00:00:00"/>
    <x v="2"/>
    <x v="2"/>
    <x v="0"/>
    <x v="0"/>
    <x v="11"/>
    <x v="1"/>
    <x v="5"/>
    <x v="2"/>
  </r>
  <r>
    <x v="976"/>
    <x v="18"/>
    <x v="20"/>
    <n v="33"/>
    <n v="495"/>
    <x v="38"/>
    <d v="2025-02-09T00:00:00"/>
    <x v="2"/>
    <x v="2"/>
    <x v="0"/>
    <x v="0"/>
    <x v="11"/>
    <x v="3"/>
    <x v="5"/>
    <x v="2"/>
  </r>
  <r>
    <x v="977"/>
    <x v="1"/>
    <x v="9"/>
    <n v="44.9"/>
    <n v="224.5"/>
    <x v="38"/>
    <d v="2025-02-11T00:00:00"/>
    <x v="2"/>
    <x v="2"/>
    <x v="2"/>
    <x v="0"/>
    <x v="18"/>
    <x v="2"/>
    <x v="5"/>
    <x v="2"/>
  </r>
  <r>
    <x v="978"/>
    <x v="10"/>
    <x v="1"/>
    <n v="34.6"/>
    <n v="69.2"/>
    <x v="38"/>
    <d v="2025-02-12T00:00:00"/>
    <x v="2"/>
    <x v="0"/>
    <x v="1"/>
    <x v="0"/>
    <x v="19"/>
    <x v="5"/>
    <x v="5"/>
    <x v="2"/>
  </r>
  <r>
    <x v="979"/>
    <x v="7"/>
    <x v="3"/>
    <n v="47.1"/>
    <n v="329.7"/>
    <x v="38"/>
    <d v="2025-02-13T00:00:00"/>
    <x v="2"/>
    <x v="0"/>
    <x v="0"/>
    <x v="0"/>
    <x v="13"/>
    <x v="0"/>
    <x v="5"/>
    <x v="2"/>
  </r>
  <r>
    <x v="980"/>
    <x v="4"/>
    <x v="9"/>
    <n v="26.1"/>
    <n v="130.5"/>
    <x v="38"/>
    <d v="2025-02-13T00:00:00"/>
    <x v="1"/>
    <x v="0"/>
    <x v="2"/>
    <x v="0"/>
    <x v="21"/>
    <x v="0"/>
    <x v="5"/>
    <x v="1"/>
  </r>
  <r>
    <x v="981"/>
    <x v="12"/>
    <x v="9"/>
    <n v="66.8"/>
    <n v="334"/>
    <x v="38"/>
    <d v="2025-02-11T00:00:00"/>
    <x v="2"/>
    <x v="0"/>
    <x v="0"/>
    <x v="0"/>
    <x v="21"/>
    <x v="2"/>
    <x v="5"/>
    <x v="2"/>
  </r>
  <r>
    <x v="982"/>
    <x v="2"/>
    <x v="1"/>
    <n v="167.9"/>
    <n v="335.8"/>
    <x v="38"/>
    <d v="2025-02-09T00:00:00"/>
    <x v="2"/>
    <x v="3"/>
    <x v="2"/>
    <x v="0"/>
    <x v="21"/>
    <x v="3"/>
    <x v="5"/>
    <x v="2"/>
  </r>
  <r>
    <x v="983"/>
    <x v="10"/>
    <x v="11"/>
    <n v="34.6"/>
    <n v="311.40000000000003"/>
    <x v="38"/>
    <d v="2025-02-09T00:00:00"/>
    <x v="2"/>
    <x v="2"/>
    <x v="1"/>
    <x v="0"/>
    <x v="21"/>
    <x v="3"/>
    <x v="5"/>
    <x v="2"/>
  </r>
  <r>
    <x v="984"/>
    <x v="8"/>
    <x v="2"/>
    <n v="35.1"/>
    <n v="105.30000000000001"/>
    <x v="39"/>
    <d v="2025-02-13T00:00:00"/>
    <x v="1"/>
    <x v="4"/>
    <x v="2"/>
    <x v="0"/>
    <x v="1"/>
    <x v="5"/>
    <x v="6"/>
    <x v="1"/>
  </r>
  <r>
    <x v="985"/>
    <x v="6"/>
    <x v="12"/>
    <n v="104.5"/>
    <n v="418"/>
    <x v="39"/>
    <d v="2025-02-10T00:00:00"/>
    <x v="1"/>
    <x v="1"/>
    <x v="1"/>
    <x v="0"/>
    <x v="1"/>
    <x v="3"/>
    <x v="6"/>
    <x v="1"/>
  </r>
  <r>
    <x v="986"/>
    <x v="8"/>
    <x v="0"/>
    <n v="37.9"/>
    <n v="37.9"/>
    <x v="39"/>
    <d v="2025-02-11T00:00:00"/>
    <x v="0"/>
    <x v="1"/>
    <x v="2"/>
    <x v="0"/>
    <x v="2"/>
    <x v="1"/>
    <x v="6"/>
    <x v="0"/>
  </r>
  <r>
    <x v="987"/>
    <x v="4"/>
    <x v="2"/>
    <n v="25.5"/>
    <n v="76.5"/>
    <x v="39"/>
    <d v="2025-02-12T00:00:00"/>
    <x v="1"/>
    <x v="3"/>
    <x v="0"/>
    <x v="0"/>
    <x v="2"/>
    <x v="2"/>
    <x v="6"/>
    <x v="1"/>
  </r>
  <r>
    <x v="988"/>
    <x v="0"/>
    <x v="2"/>
    <n v="32"/>
    <n v="96"/>
    <x v="39"/>
    <d v="2025-02-13T00:00:00"/>
    <x v="2"/>
    <x v="1"/>
    <x v="0"/>
    <x v="0"/>
    <x v="22"/>
    <x v="5"/>
    <x v="6"/>
    <x v="2"/>
  </r>
  <r>
    <x v="989"/>
    <x v="1"/>
    <x v="0"/>
    <n v="47.1"/>
    <n v="47.1"/>
    <x v="39"/>
    <d v="2025-02-10T00:00:00"/>
    <x v="2"/>
    <x v="0"/>
    <x v="0"/>
    <x v="0"/>
    <x v="34"/>
    <x v="3"/>
    <x v="6"/>
    <x v="2"/>
  </r>
  <r>
    <x v="990"/>
    <x v="6"/>
    <x v="1"/>
    <n v="50.6"/>
    <n v="101.2"/>
    <x v="39"/>
    <d v="2025-02-15T00:00:00"/>
    <x v="0"/>
    <x v="0"/>
    <x v="0"/>
    <x v="0"/>
    <x v="3"/>
    <x v="4"/>
    <x v="6"/>
    <x v="0"/>
  </r>
  <r>
    <x v="991"/>
    <x v="6"/>
    <x v="9"/>
    <n v="81.7"/>
    <n v="408.5"/>
    <x v="39"/>
    <d v="2025-02-10T00:00:00"/>
    <x v="2"/>
    <x v="1"/>
    <x v="2"/>
    <x v="0"/>
    <x v="3"/>
    <x v="3"/>
    <x v="6"/>
    <x v="2"/>
  </r>
  <r>
    <x v="992"/>
    <x v="5"/>
    <x v="1"/>
    <n v="50.7"/>
    <n v="101.4"/>
    <x v="39"/>
    <d v="2025-02-10T00:00:00"/>
    <x v="3"/>
    <x v="2"/>
    <x v="2"/>
    <x v="0"/>
    <x v="3"/>
    <x v="3"/>
    <x v="6"/>
    <x v="3"/>
  </r>
  <r>
    <x v="993"/>
    <x v="2"/>
    <x v="10"/>
    <n v="67.3"/>
    <n v="1278.7"/>
    <x v="39"/>
    <d v="2025-02-13T00:00:00"/>
    <x v="2"/>
    <x v="2"/>
    <x v="0"/>
    <x v="0"/>
    <x v="3"/>
    <x v="5"/>
    <x v="6"/>
    <x v="2"/>
  </r>
  <r>
    <x v="994"/>
    <x v="2"/>
    <x v="12"/>
    <n v="64.8"/>
    <n v="259.2"/>
    <x v="39"/>
    <d v="2025-02-12T00:00:00"/>
    <x v="2"/>
    <x v="3"/>
    <x v="0"/>
    <x v="0"/>
    <x v="3"/>
    <x v="2"/>
    <x v="6"/>
    <x v="2"/>
  </r>
  <r>
    <x v="995"/>
    <x v="5"/>
    <x v="32"/>
    <n v="61.3"/>
    <n v="1348.6"/>
    <x v="39"/>
    <d v="2025-02-10T00:00:00"/>
    <x v="2"/>
    <x v="0"/>
    <x v="2"/>
    <x v="0"/>
    <x v="3"/>
    <x v="3"/>
    <x v="6"/>
    <x v="2"/>
  </r>
  <r>
    <x v="996"/>
    <x v="14"/>
    <x v="0"/>
    <n v="32.9"/>
    <n v="32.9"/>
    <x v="39"/>
    <d v="2025-02-12T00:00:00"/>
    <x v="2"/>
    <x v="4"/>
    <x v="0"/>
    <x v="0"/>
    <x v="3"/>
    <x v="2"/>
    <x v="6"/>
    <x v="2"/>
  </r>
  <r>
    <x v="997"/>
    <x v="6"/>
    <x v="1"/>
    <n v="100.8"/>
    <n v="201.6"/>
    <x v="39"/>
    <d v="2025-02-12T00:00:00"/>
    <x v="2"/>
    <x v="0"/>
    <x v="0"/>
    <x v="0"/>
    <x v="3"/>
    <x v="2"/>
    <x v="6"/>
    <x v="2"/>
  </r>
  <r>
    <x v="998"/>
    <x v="8"/>
    <x v="12"/>
    <n v="25.1"/>
    <n v="100.4"/>
    <x v="39"/>
    <d v="2025-02-11T00:00:00"/>
    <x v="2"/>
    <x v="1"/>
    <x v="0"/>
    <x v="0"/>
    <x v="3"/>
    <x v="1"/>
    <x v="6"/>
    <x v="2"/>
  </r>
  <r>
    <x v="999"/>
    <x v="17"/>
    <x v="0"/>
    <n v="48.5"/>
    <n v="48.5"/>
    <x v="39"/>
    <d v="2025-02-10T00:00:00"/>
    <x v="2"/>
    <x v="0"/>
    <x v="1"/>
    <x v="0"/>
    <x v="3"/>
    <x v="3"/>
    <x v="6"/>
    <x v="2"/>
  </r>
  <r>
    <x v="1000"/>
    <x v="7"/>
    <x v="1"/>
    <n v="33.6"/>
    <n v="67.2"/>
    <x v="39"/>
    <d v="2025-02-13T00:00:00"/>
    <x v="2"/>
    <x v="2"/>
    <x v="2"/>
    <x v="0"/>
    <x v="3"/>
    <x v="5"/>
    <x v="6"/>
    <x v="2"/>
  </r>
  <r>
    <x v="1001"/>
    <x v="8"/>
    <x v="0"/>
    <n v="39.299999999999997"/>
    <n v="39.299999999999997"/>
    <x v="39"/>
    <d v="2025-02-20T00:00:00"/>
    <x v="2"/>
    <x v="1"/>
    <x v="1"/>
    <x v="0"/>
    <x v="49"/>
    <x v="11"/>
    <x v="6"/>
    <x v="2"/>
  </r>
  <r>
    <x v="1002"/>
    <x v="4"/>
    <x v="7"/>
    <n v="48.8"/>
    <n v="488"/>
    <x v="39"/>
    <d v="2025-02-11T00:00:00"/>
    <x v="2"/>
    <x v="3"/>
    <x v="1"/>
    <x v="0"/>
    <x v="25"/>
    <x v="1"/>
    <x v="6"/>
    <x v="2"/>
  </r>
  <r>
    <x v="1003"/>
    <x v="6"/>
    <x v="8"/>
    <n v="72.8"/>
    <n v="582.4"/>
    <x v="39"/>
    <d v="2025-02-11T00:00:00"/>
    <x v="1"/>
    <x v="1"/>
    <x v="2"/>
    <x v="0"/>
    <x v="5"/>
    <x v="1"/>
    <x v="6"/>
    <x v="1"/>
  </r>
  <r>
    <x v="1004"/>
    <x v="10"/>
    <x v="8"/>
    <n v="46.2"/>
    <n v="369.6"/>
    <x v="39"/>
    <d v="2025-02-10T00:00:00"/>
    <x v="1"/>
    <x v="3"/>
    <x v="4"/>
    <x v="0"/>
    <x v="5"/>
    <x v="3"/>
    <x v="6"/>
    <x v="1"/>
  </r>
  <r>
    <x v="1005"/>
    <x v="4"/>
    <x v="1"/>
    <n v="20.7"/>
    <n v="41.4"/>
    <x v="39"/>
    <d v="2025-02-10T00:00:00"/>
    <x v="2"/>
    <x v="2"/>
    <x v="3"/>
    <x v="0"/>
    <x v="6"/>
    <x v="3"/>
    <x v="6"/>
    <x v="2"/>
  </r>
  <r>
    <x v="1006"/>
    <x v="0"/>
    <x v="0"/>
    <n v="35.700000000000003"/>
    <n v="35.700000000000003"/>
    <x v="39"/>
    <d v="2025-02-11T00:00:00"/>
    <x v="2"/>
    <x v="3"/>
    <x v="0"/>
    <x v="0"/>
    <x v="6"/>
    <x v="1"/>
    <x v="6"/>
    <x v="2"/>
  </r>
  <r>
    <x v="1007"/>
    <x v="2"/>
    <x v="27"/>
    <n v="166.2"/>
    <n v="2659.2"/>
    <x v="39"/>
    <d v="2025-02-11T00:00:00"/>
    <x v="0"/>
    <x v="2"/>
    <x v="0"/>
    <x v="0"/>
    <x v="7"/>
    <x v="1"/>
    <x v="6"/>
    <x v="0"/>
  </r>
  <r>
    <x v="1008"/>
    <x v="6"/>
    <x v="12"/>
    <n v="85.8"/>
    <n v="343.2"/>
    <x v="39"/>
    <d v="2025-02-10T00:00:00"/>
    <x v="2"/>
    <x v="1"/>
    <x v="1"/>
    <x v="0"/>
    <x v="7"/>
    <x v="3"/>
    <x v="6"/>
    <x v="2"/>
  </r>
  <r>
    <x v="1009"/>
    <x v="8"/>
    <x v="2"/>
    <n v="26"/>
    <n v="78"/>
    <x v="39"/>
    <d v="2025-02-11T00:00:00"/>
    <x v="3"/>
    <x v="1"/>
    <x v="0"/>
    <x v="0"/>
    <x v="7"/>
    <x v="1"/>
    <x v="6"/>
    <x v="3"/>
  </r>
  <r>
    <x v="1010"/>
    <x v="2"/>
    <x v="15"/>
    <n v="116.6"/>
    <n v="1515.8"/>
    <x v="39"/>
    <d v="2025-02-12T00:00:00"/>
    <x v="2"/>
    <x v="0"/>
    <x v="0"/>
    <x v="0"/>
    <x v="8"/>
    <x v="2"/>
    <x v="6"/>
    <x v="2"/>
  </r>
  <r>
    <x v="1011"/>
    <x v="9"/>
    <x v="3"/>
    <n v="53.9"/>
    <n v="377.3"/>
    <x v="39"/>
    <d v="2025-02-12T00:00:00"/>
    <x v="3"/>
    <x v="0"/>
    <x v="2"/>
    <x v="0"/>
    <x v="8"/>
    <x v="2"/>
    <x v="6"/>
    <x v="3"/>
  </r>
  <r>
    <x v="1012"/>
    <x v="12"/>
    <x v="9"/>
    <n v="72.3"/>
    <n v="361.5"/>
    <x v="39"/>
    <d v="2025-02-11T00:00:00"/>
    <x v="0"/>
    <x v="2"/>
    <x v="2"/>
    <x v="0"/>
    <x v="8"/>
    <x v="1"/>
    <x v="6"/>
    <x v="0"/>
  </r>
  <r>
    <x v="1013"/>
    <x v="5"/>
    <x v="1"/>
    <n v="31.4"/>
    <n v="62.8"/>
    <x v="39"/>
    <d v="2025-02-11T00:00:00"/>
    <x v="2"/>
    <x v="0"/>
    <x v="0"/>
    <x v="0"/>
    <x v="8"/>
    <x v="1"/>
    <x v="6"/>
    <x v="2"/>
  </r>
  <r>
    <x v="1014"/>
    <x v="13"/>
    <x v="1"/>
    <n v="53.1"/>
    <n v="106.2"/>
    <x v="39"/>
    <d v="2025-02-12T00:00:00"/>
    <x v="1"/>
    <x v="1"/>
    <x v="0"/>
    <x v="0"/>
    <x v="8"/>
    <x v="2"/>
    <x v="6"/>
    <x v="1"/>
  </r>
  <r>
    <x v="1015"/>
    <x v="2"/>
    <x v="12"/>
    <n v="56.2"/>
    <n v="224.8"/>
    <x v="39"/>
    <d v="2025-02-10T00:00:00"/>
    <x v="2"/>
    <x v="0"/>
    <x v="0"/>
    <x v="0"/>
    <x v="8"/>
    <x v="3"/>
    <x v="6"/>
    <x v="2"/>
  </r>
  <r>
    <x v="1016"/>
    <x v="1"/>
    <x v="7"/>
    <n v="77.3"/>
    <n v="773"/>
    <x v="39"/>
    <d v="2025-02-10T00:00:00"/>
    <x v="2"/>
    <x v="2"/>
    <x v="0"/>
    <x v="0"/>
    <x v="11"/>
    <x v="3"/>
    <x v="6"/>
    <x v="2"/>
  </r>
  <r>
    <x v="1017"/>
    <x v="6"/>
    <x v="15"/>
    <n v="57.8"/>
    <n v="751.4"/>
    <x v="39"/>
    <d v="2025-02-10T00:00:00"/>
    <x v="0"/>
    <x v="0"/>
    <x v="0"/>
    <x v="0"/>
    <x v="53"/>
    <x v="3"/>
    <x v="6"/>
    <x v="0"/>
  </r>
  <r>
    <x v="1018"/>
    <x v="12"/>
    <x v="20"/>
    <n v="42.1"/>
    <n v="631.5"/>
    <x v="39"/>
    <d v="2025-02-11T00:00:00"/>
    <x v="2"/>
    <x v="1"/>
    <x v="1"/>
    <x v="0"/>
    <x v="53"/>
    <x v="1"/>
    <x v="6"/>
    <x v="2"/>
  </r>
  <r>
    <x v="1019"/>
    <x v="8"/>
    <x v="11"/>
    <n v="22.8"/>
    <n v="205.20000000000002"/>
    <x v="39"/>
    <d v="2025-02-13T00:00:00"/>
    <x v="1"/>
    <x v="2"/>
    <x v="2"/>
    <x v="0"/>
    <x v="19"/>
    <x v="5"/>
    <x v="6"/>
    <x v="1"/>
  </r>
  <r>
    <x v="1020"/>
    <x v="2"/>
    <x v="2"/>
    <n v="171.1"/>
    <n v="513.29999999999995"/>
    <x v="40"/>
    <d v="2025-02-17T00:00:00"/>
    <x v="2"/>
    <x v="2"/>
    <x v="1"/>
    <x v="0"/>
    <x v="19"/>
    <x v="6"/>
    <x v="6"/>
    <x v="2"/>
  </r>
  <r>
    <x v="1021"/>
    <x v="8"/>
    <x v="0"/>
    <n v="28"/>
    <n v="28"/>
    <x v="40"/>
    <d v="2025-02-12T00:00:00"/>
    <x v="1"/>
    <x v="2"/>
    <x v="2"/>
    <x v="0"/>
    <x v="21"/>
    <x v="1"/>
    <x v="6"/>
    <x v="1"/>
  </r>
  <r>
    <x v="1022"/>
    <x v="6"/>
    <x v="3"/>
    <n v="50.2"/>
    <n v="351.40000000000003"/>
    <x v="40"/>
    <d v="2025-02-12T00:00:00"/>
    <x v="1"/>
    <x v="2"/>
    <x v="0"/>
    <x v="0"/>
    <x v="21"/>
    <x v="1"/>
    <x v="6"/>
    <x v="1"/>
  </r>
  <r>
    <x v="1023"/>
    <x v="6"/>
    <x v="1"/>
    <n v="56"/>
    <n v="112"/>
    <x v="40"/>
    <d v="2025-02-10T00:00:00"/>
    <x v="1"/>
    <x v="0"/>
    <x v="2"/>
    <x v="0"/>
    <x v="22"/>
    <x v="7"/>
    <x v="6"/>
    <x v="1"/>
  </r>
  <r>
    <x v="1024"/>
    <x v="1"/>
    <x v="1"/>
    <n v="38.299999999999997"/>
    <n v="76.599999999999994"/>
    <x v="40"/>
    <d v="2025-02-11T00:00:00"/>
    <x v="2"/>
    <x v="1"/>
    <x v="0"/>
    <x v="0"/>
    <x v="3"/>
    <x v="3"/>
    <x v="6"/>
    <x v="2"/>
  </r>
  <r>
    <x v="1025"/>
    <x v="0"/>
    <x v="9"/>
    <n v="22.3"/>
    <n v="111.5"/>
    <x v="40"/>
    <d v="2025-02-14T00:00:00"/>
    <x v="2"/>
    <x v="2"/>
    <x v="1"/>
    <x v="0"/>
    <x v="3"/>
    <x v="5"/>
    <x v="6"/>
    <x v="2"/>
  </r>
  <r>
    <x v="1026"/>
    <x v="0"/>
    <x v="2"/>
    <n v="22.3"/>
    <n v="66.900000000000006"/>
    <x v="40"/>
    <d v="2025-02-13T00:00:00"/>
    <x v="2"/>
    <x v="2"/>
    <x v="0"/>
    <x v="0"/>
    <x v="3"/>
    <x v="2"/>
    <x v="6"/>
    <x v="2"/>
  </r>
  <r>
    <x v="1027"/>
    <x v="1"/>
    <x v="0"/>
    <n v="32.9"/>
    <n v="32.9"/>
    <x v="40"/>
    <d v="2025-02-15T00:00:00"/>
    <x v="2"/>
    <x v="0"/>
    <x v="0"/>
    <x v="0"/>
    <x v="3"/>
    <x v="0"/>
    <x v="6"/>
    <x v="2"/>
  </r>
  <r>
    <x v="1028"/>
    <x v="10"/>
    <x v="2"/>
    <n v="31.9"/>
    <n v="95.699999999999989"/>
    <x v="40"/>
    <d v="2025-02-15T00:00:00"/>
    <x v="2"/>
    <x v="0"/>
    <x v="0"/>
    <x v="0"/>
    <x v="3"/>
    <x v="0"/>
    <x v="6"/>
    <x v="2"/>
  </r>
  <r>
    <x v="1029"/>
    <x v="6"/>
    <x v="1"/>
    <n v="94"/>
    <n v="188"/>
    <x v="40"/>
    <d v="2025-02-11T00:00:00"/>
    <x v="1"/>
    <x v="2"/>
    <x v="2"/>
    <x v="0"/>
    <x v="3"/>
    <x v="3"/>
    <x v="6"/>
    <x v="1"/>
  </r>
  <r>
    <x v="1030"/>
    <x v="10"/>
    <x v="1"/>
    <n v="30.7"/>
    <n v="61.4"/>
    <x v="40"/>
    <d v="2025-02-11T00:00:00"/>
    <x v="2"/>
    <x v="0"/>
    <x v="1"/>
    <x v="0"/>
    <x v="3"/>
    <x v="3"/>
    <x v="6"/>
    <x v="2"/>
  </r>
  <r>
    <x v="1031"/>
    <x v="5"/>
    <x v="9"/>
    <n v="90.5"/>
    <n v="452.5"/>
    <x v="40"/>
    <d v="2025-02-17T00:00:00"/>
    <x v="1"/>
    <x v="0"/>
    <x v="2"/>
    <x v="0"/>
    <x v="3"/>
    <x v="6"/>
    <x v="6"/>
    <x v="1"/>
  </r>
  <r>
    <x v="1032"/>
    <x v="8"/>
    <x v="9"/>
    <n v="25.3"/>
    <n v="126.5"/>
    <x v="40"/>
    <d v="2025-02-14T00:00:00"/>
    <x v="2"/>
    <x v="0"/>
    <x v="2"/>
    <x v="0"/>
    <x v="3"/>
    <x v="5"/>
    <x v="6"/>
    <x v="2"/>
  </r>
  <r>
    <x v="1033"/>
    <x v="6"/>
    <x v="2"/>
    <n v="58.1"/>
    <n v="174.3"/>
    <x v="40"/>
    <d v="2025-02-14T00:00:00"/>
    <x v="0"/>
    <x v="0"/>
    <x v="2"/>
    <x v="0"/>
    <x v="3"/>
    <x v="5"/>
    <x v="6"/>
    <x v="0"/>
  </r>
  <r>
    <x v="1034"/>
    <x v="2"/>
    <x v="2"/>
    <n v="74.900000000000006"/>
    <n v="224.70000000000002"/>
    <x v="40"/>
    <d v="2025-02-11T00:00:00"/>
    <x v="2"/>
    <x v="4"/>
    <x v="0"/>
    <x v="0"/>
    <x v="3"/>
    <x v="3"/>
    <x v="6"/>
    <x v="2"/>
  </r>
  <r>
    <x v="1035"/>
    <x v="4"/>
    <x v="1"/>
    <n v="32.5"/>
    <n v="65"/>
    <x v="40"/>
    <d v="2025-02-11T00:00:00"/>
    <x v="1"/>
    <x v="2"/>
    <x v="2"/>
    <x v="0"/>
    <x v="43"/>
    <x v="3"/>
    <x v="6"/>
    <x v="1"/>
  </r>
  <r>
    <x v="1036"/>
    <x v="4"/>
    <x v="9"/>
    <n v="62"/>
    <n v="310"/>
    <x v="40"/>
    <d v="2025-02-11T00:00:00"/>
    <x v="1"/>
    <x v="4"/>
    <x v="2"/>
    <x v="0"/>
    <x v="25"/>
    <x v="3"/>
    <x v="6"/>
    <x v="1"/>
  </r>
  <r>
    <x v="1037"/>
    <x v="13"/>
    <x v="13"/>
    <n v="28.9"/>
    <n v="173.39999999999998"/>
    <x v="40"/>
    <d v="2025-02-13T00:00:00"/>
    <x v="2"/>
    <x v="0"/>
    <x v="1"/>
    <x v="0"/>
    <x v="6"/>
    <x v="2"/>
    <x v="6"/>
    <x v="2"/>
  </r>
  <r>
    <x v="1038"/>
    <x v="6"/>
    <x v="8"/>
    <n v="42.8"/>
    <n v="342.4"/>
    <x v="40"/>
    <d v="2025-02-12T00:00:00"/>
    <x v="2"/>
    <x v="0"/>
    <x v="2"/>
    <x v="0"/>
    <x v="6"/>
    <x v="1"/>
    <x v="6"/>
    <x v="2"/>
  </r>
  <r>
    <x v="1039"/>
    <x v="8"/>
    <x v="8"/>
    <n v="39.4"/>
    <n v="315.2"/>
    <x v="40"/>
    <d v="2025-02-12T00:00:00"/>
    <x v="1"/>
    <x v="0"/>
    <x v="0"/>
    <x v="0"/>
    <x v="36"/>
    <x v="1"/>
    <x v="6"/>
    <x v="1"/>
  </r>
  <r>
    <x v="1040"/>
    <x v="18"/>
    <x v="2"/>
    <n v="66.400000000000006"/>
    <n v="199.20000000000002"/>
    <x v="40"/>
    <d v="2025-02-11T00:00:00"/>
    <x v="0"/>
    <x v="2"/>
    <x v="1"/>
    <x v="0"/>
    <x v="7"/>
    <x v="3"/>
    <x v="6"/>
    <x v="0"/>
  </r>
  <r>
    <x v="1041"/>
    <x v="17"/>
    <x v="12"/>
    <n v="35.9"/>
    <n v="143.6"/>
    <x v="40"/>
    <d v="2025-02-17T00:00:00"/>
    <x v="2"/>
    <x v="1"/>
    <x v="0"/>
    <x v="0"/>
    <x v="7"/>
    <x v="6"/>
    <x v="6"/>
    <x v="2"/>
  </r>
  <r>
    <x v="1042"/>
    <x v="0"/>
    <x v="12"/>
    <n v="26.9"/>
    <n v="107.6"/>
    <x v="40"/>
    <d v="2025-02-11T00:00:00"/>
    <x v="1"/>
    <x v="1"/>
    <x v="0"/>
    <x v="0"/>
    <x v="7"/>
    <x v="3"/>
    <x v="6"/>
    <x v="1"/>
  </r>
  <r>
    <x v="1043"/>
    <x v="2"/>
    <x v="0"/>
    <n v="55.1"/>
    <n v="55.1"/>
    <x v="40"/>
    <d v="2025-02-11T00:00:00"/>
    <x v="2"/>
    <x v="0"/>
    <x v="0"/>
    <x v="0"/>
    <x v="7"/>
    <x v="3"/>
    <x v="6"/>
    <x v="2"/>
  </r>
  <r>
    <x v="1044"/>
    <x v="4"/>
    <x v="1"/>
    <n v="23.9"/>
    <n v="47.8"/>
    <x v="40"/>
    <d v="2025-02-11T00:00:00"/>
    <x v="1"/>
    <x v="0"/>
    <x v="2"/>
    <x v="0"/>
    <x v="8"/>
    <x v="3"/>
    <x v="6"/>
    <x v="1"/>
  </r>
  <r>
    <x v="1045"/>
    <x v="9"/>
    <x v="15"/>
    <n v="21.1"/>
    <n v="274.3"/>
    <x v="40"/>
    <d v="2025-02-18T00:00:00"/>
    <x v="2"/>
    <x v="0"/>
    <x v="1"/>
    <x v="0"/>
    <x v="8"/>
    <x v="9"/>
    <x v="6"/>
    <x v="2"/>
  </r>
  <r>
    <x v="1046"/>
    <x v="8"/>
    <x v="9"/>
    <n v="33.799999999999997"/>
    <n v="169"/>
    <x v="40"/>
    <d v="2025-02-12T00:00:00"/>
    <x v="2"/>
    <x v="0"/>
    <x v="0"/>
    <x v="0"/>
    <x v="8"/>
    <x v="1"/>
    <x v="6"/>
    <x v="2"/>
  </r>
  <r>
    <x v="1047"/>
    <x v="2"/>
    <x v="12"/>
    <n v="56.1"/>
    <n v="224.4"/>
    <x v="40"/>
    <d v="2025-02-10T00:00:00"/>
    <x v="2"/>
    <x v="3"/>
    <x v="2"/>
    <x v="0"/>
    <x v="9"/>
    <x v="7"/>
    <x v="6"/>
    <x v="2"/>
  </r>
  <r>
    <x v="1048"/>
    <x v="3"/>
    <x v="0"/>
    <n v="58.5"/>
    <n v="58.5"/>
    <x v="41"/>
    <d v="2025-02-15T00:00:00"/>
    <x v="2"/>
    <x v="1"/>
    <x v="2"/>
    <x v="0"/>
    <x v="9"/>
    <x v="5"/>
    <x v="6"/>
    <x v="2"/>
  </r>
  <r>
    <x v="1049"/>
    <x v="6"/>
    <x v="0"/>
    <n v="84.2"/>
    <n v="84.2"/>
    <x v="41"/>
    <d v="2025-02-13T00:00:00"/>
    <x v="1"/>
    <x v="3"/>
    <x v="0"/>
    <x v="0"/>
    <x v="11"/>
    <x v="1"/>
    <x v="6"/>
    <x v="1"/>
  </r>
  <r>
    <x v="1050"/>
    <x v="11"/>
    <x v="12"/>
    <n v="52"/>
    <n v="208"/>
    <x v="41"/>
    <d v="2025-02-14T00:00:00"/>
    <x v="1"/>
    <x v="0"/>
    <x v="0"/>
    <x v="0"/>
    <x v="11"/>
    <x v="2"/>
    <x v="6"/>
    <x v="1"/>
  </r>
  <r>
    <x v="1051"/>
    <x v="4"/>
    <x v="9"/>
    <n v="31.5"/>
    <n v="157.5"/>
    <x v="41"/>
    <d v="2025-02-12T00:00:00"/>
    <x v="2"/>
    <x v="0"/>
    <x v="2"/>
    <x v="0"/>
    <x v="11"/>
    <x v="3"/>
    <x v="6"/>
    <x v="2"/>
  </r>
  <r>
    <x v="1052"/>
    <x v="16"/>
    <x v="2"/>
    <n v="46.2"/>
    <n v="138.60000000000002"/>
    <x v="41"/>
    <d v="2025-02-12T00:00:00"/>
    <x v="1"/>
    <x v="0"/>
    <x v="0"/>
    <x v="0"/>
    <x v="53"/>
    <x v="3"/>
    <x v="6"/>
    <x v="1"/>
  </r>
  <r>
    <x v="1053"/>
    <x v="2"/>
    <x v="13"/>
    <n v="135"/>
    <n v="810"/>
    <x v="41"/>
    <d v="2025-02-12T00:00:00"/>
    <x v="2"/>
    <x v="1"/>
    <x v="2"/>
    <x v="0"/>
    <x v="18"/>
    <x v="3"/>
    <x v="6"/>
    <x v="2"/>
  </r>
  <r>
    <x v="1054"/>
    <x v="12"/>
    <x v="2"/>
    <n v="92.2"/>
    <n v="276.60000000000002"/>
    <x v="41"/>
    <d v="2025-02-15T00:00:00"/>
    <x v="1"/>
    <x v="0"/>
    <x v="0"/>
    <x v="0"/>
    <x v="21"/>
    <x v="5"/>
    <x v="6"/>
    <x v="1"/>
  </r>
  <r>
    <x v="1055"/>
    <x v="8"/>
    <x v="0"/>
    <n v="36.6"/>
    <n v="36.6"/>
    <x v="41"/>
    <d v="2025-02-13T00:00:00"/>
    <x v="1"/>
    <x v="2"/>
    <x v="2"/>
    <x v="0"/>
    <x v="21"/>
    <x v="1"/>
    <x v="6"/>
    <x v="1"/>
  </r>
  <r>
    <x v="1056"/>
    <x v="9"/>
    <x v="1"/>
    <n v="50.6"/>
    <n v="101.2"/>
    <x v="41"/>
    <d v="2025-02-14T00:00:00"/>
    <x v="2"/>
    <x v="0"/>
    <x v="0"/>
    <x v="0"/>
    <x v="2"/>
    <x v="2"/>
    <x v="6"/>
    <x v="2"/>
  </r>
  <r>
    <x v="1057"/>
    <x v="18"/>
    <x v="3"/>
    <n v="56.7"/>
    <n v="396.90000000000003"/>
    <x v="41"/>
    <d v="2025-02-14T00:00:00"/>
    <x v="2"/>
    <x v="0"/>
    <x v="0"/>
    <x v="0"/>
    <x v="2"/>
    <x v="2"/>
    <x v="6"/>
    <x v="2"/>
  </r>
  <r>
    <x v="1058"/>
    <x v="9"/>
    <x v="15"/>
    <n v="22.9"/>
    <n v="297.7"/>
    <x v="41"/>
    <d v="2025-02-12T00:00:00"/>
    <x v="2"/>
    <x v="0"/>
    <x v="1"/>
    <x v="0"/>
    <x v="44"/>
    <x v="3"/>
    <x v="6"/>
    <x v="2"/>
  </r>
  <r>
    <x v="1059"/>
    <x v="15"/>
    <x v="10"/>
    <n v="53.6"/>
    <n v="1018.4"/>
    <x v="41"/>
    <d v="2025-02-12T00:00:00"/>
    <x v="1"/>
    <x v="0"/>
    <x v="0"/>
    <x v="0"/>
    <x v="22"/>
    <x v="3"/>
    <x v="6"/>
    <x v="1"/>
  </r>
  <r>
    <x v="1060"/>
    <x v="18"/>
    <x v="1"/>
    <n v="30.2"/>
    <n v="60.4"/>
    <x v="41"/>
    <d v="2025-02-13T00:00:00"/>
    <x v="0"/>
    <x v="2"/>
    <x v="2"/>
    <x v="0"/>
    <x v="3"/>
    <x v="1"/>
    <x v="6"/>
    <x v="0"/>
  </r>
  <r>
    <x v="1061"/>
    <x v="15"/>
    <x v="13"/>
    <n v="83.4"/>
    <n v="500.40000000000003"/>
    <x v="41"/>
    <d v="2025-02-12T00:00:00"/>
    <x v="1"/>
    <x v="1"/>
    <x v="2"/>
    <x v="0"/>
    <x v="3"/>
    <x v="3"/>
    <x v="6"/>
    <x v="1"/>
  </r>
  <r>
    <x v="1062"/>
    <x v="13"/>
    <x v="4"/>
    <n v="16.600000000000001"/>
    <n v="199.20000000000002"/>
    <x v="41"/>
    <d v="2025-02-13T00:00:00"/>
    <x v="1"/>
    <x v="1"/>
    <x v="0"/>
    <x v="0"/>
    <x v="3"/>
    <x v="1"/>
    <x v="6"/>
    <x v="1"/>
  </r>
  <r>
    <x v="1063"/>
    <x v="8"/>
    <x v="14"/>
    <n v="21.9"/>
    <n v="372.29999999999995"/>
    <x v="41"/>
    <d v="2025-02-13T00:00:00"/>
    <x v="2"/>
    <x v="4"/>
    <x v="1"/>
    <x v="0"/>
    <x v="3"/>
    <x v="1"/>
    <x v="6"/>
    <x v="2"/>
  </r>
  <r>
    <x v="1064"/>
    <x v="8"/>
    <x v="31"/>
    <n v="33.799999999999997"/>
    <n v="946.39999999999986"/>
    <x v="41"/>
    <d v="2025-02-13T00:00:00"/>
    <x v="1"/>
    <x v="2"/>
    <x v="4"/>
    <x v="0"/>
    <x v="3"/>
    <x v="1"/>
    <x v="6"/>
    <x v="1"/>
  </r>
  <r>
    <x v="1065"/>
    <x v="18"/>
    <x v="1"/>
    <n v="53.2"/>
    <n v="106.4"/>
    <x v="41"/>
    <d v="2025-02-11T00:00:00"/>
    <x v="1"/>
    <x v="1"/>
    <x v="0"/>
    <x v="0"/>
    <x v="3"/>
    <x v="7"/>
    <x v="6"/>
    <x v="1"/>
  </r>
  <r>
    <x v="1066"/>
    <x v="2"/>
    <x v="1"/>
    <n v="176.7"/>
    <n v="353.4"/>
    <x v="41"/>
    <d v="2025-02-14T00:00:00"/>
    <x v="2"/>
    <x v="2"/>
    <x v="0"/>
    <x v="0"/>
    <x v="3"/>
    <x v="2"/>
    <x v="6"/>
    <x v="2"/>
  </r>
  <r>
    <x v="1067"/>
    <x v="12"/>
    <x v="2"/>
    <n v="54"/>
    <n v="162"/>
    <x v="41"/>
    <d v="2025-02-14T00:00:00"/>
    <x v="1"/>
    <x v="0"/>
    <x v="1"/>
    <x v="0"/>
    <x v="3"/>
    <x v="2"/>
    <x v="6"/>
    <x v="1"/>
  </r>
  <r>
    <x v="1068"/>
    <x v="9"/>
    <x v="1"/>
    <n v="70.099999999999994"/>
    <n v="140.19999999999999"/>
    <x v="41"/>
    <d v="2025-02-19T00:00:00"/>
    <x v="2"/>
    <x v="3"/>
    <x v="2"/>
    <x v="0"/>
    <x v="3"/>
    <x v="9"/>
    <x v="6"/>
    <x v="2"/>
  </r>
  <r>
    <x v="1069"/>
    <x v="8"/>
    <x v="0"/>
    <n v="26.5"/>
    <n v="26.5"/>
    <x v="41"/>
    <d v="2025-02-13T00:00:00"/>
    <x v="2"/>
    <x v="1"/>
    <x v="0"/>
    <x v="0"/>
    <x v="3"/>
    <x v="1"/>
    <x v="6"/>
    <x v="2"/>
  </r>
  <r>
    <x v="1070"/>
    <x v="7"/>
    <x v="9"/>
    <n v="89"/>
    <n v="445"/>
    <x v="41"/>
    <d v="2025-02-13T00:00:00"/>
    <x v="1"/>
    <x v="2"/>
    <x v="4"/>
    <x v="0"/>
    <x v="3"/>
    <x v="1"/>
    <x v="6"/>
    <x v="1"/>
  </r>
  <r>
    <x v="1071"/>
    <x v="1"/>
    <x v="13"/>
    <n v="47"/>
    <n v="282"/>
    <x v="41"/>
    <d v="2025-02-14T00:00:00"/>
    <x v="2"/>
    <x v="3"/>
    <x v="0"/>
    <x v="0"/>
    <x v="24"/>
    <x v="2"/>
    <x v="6"/>
    <x v="2"/>
  </r>
  <r>
    <x v="1072"/>
    <x v="3"/>
    <x v="1"/>
    <n v="55.2"/>
    <n v="110.4"/>
    <x v="41"/>
    <d v="2025-02-14T00:00:00"/>
    <x v="1"/>
    <x v="1"/>
    <x v="1"/>
    <x v="0"/>
    <x v="6"/>
    <x v="2"/>
    <x v="6"/>
    <x v="1"/>
  </r>
  <r>
    <x v="1073"/>
    <x v="8"/>
    <x v="39"/>
    <n v="33.299999999999997"/>
    <n v="1398.6"/>
    <x v="41"/>
    <d v="2025-02-25T00:00:00"/>
    <x v="1"/>
    <x v="1"/>
    <x v="2"/>
    <x v="0"/>
    <x v="6"/>
    <x v="12"/>
    <x v="6"/>
    <x v="1"/>
  </r>
  <r>
    <x v="1074"/>
    <x v="2"/>
    <x v="12"/>
    <n v="110.9"/>
    <n v="443.6"/>
    <x v="42"/>
    <d v="2025-02-12T00:00:00"/>
    <x v="1"/>
    <x v="2"/>
    <x v="4"/>
    <x v="0"/>
    <x v="6"/>
    <x v="7"/>
    <x v="6"/>
    <x v="1"/>
  </r>
  <r>
    <x v="1075"/>
    <x v="2"/>
    <x v="13"/>
    <n v="67.3"/>
    <n v="403.79999999999995"/>
    <x v="42"/>
    <d v="2025-02-13T00:00:00"/>
    <x v="1"/>
    <x v="0"/>
    <x v="0"/>
    <x v="0"/>
    <x v="8"/>
    <x v="3"/>
    <x v="6"/>
    <x v="1"/>
  </r>
  <r>
    <x v="1076"/>
    <x v="6"/>
    <x v="2"/>
    <n v="69.7"/>
    <n v="209.10000000000002"/>
    <x v="42"/>
    <d v="2025-02-13T00:00:00"/>
    <x v="1"/>
    <x v="2"/>
    <x v="1"/>
    <x v="0"/>
    <x v="8"/>
    <x v="3"/>
    <x v="6"/>
    <x v="1"/>
  </r>
  <r>
    <x v="1077"/>
    <x v="5"/>
    <x v="0"/>
    <n v="39.1"/>
    <n v="39.1"/>
    <x v="42"/>
    <d v="2025-02-17T00:00:00"/>
    <x v="1"/>
    <x v="0"/>
    <x v="1"/>
    <x v="0"/>
    <x v="17"/>
    <x v="0"/>
    <x v="6"/>
    <x v="1"/>
  </r>
  <r>
    <x v="1078"/>
    <x v="2"/>
    <x v="2"/>
    <n v="208.6"/>
    <n v="625.79999999999995"/>
    <x v="42"/>
    <d v="2025-02-12T00:00:00"/>
    <x v="1"/>
    <x v="4"/>
    <x v="2"/>
    <x v="0"/>
    <x v="17"/>
    <x v="7"/>
    <x v="6"/>
    <x v="1"/>
  </r>
  <r>
    <x v="1079"/>
    <x v="15"/>
    <x v="2"/>
    <n v="27.8"/>
    <n v="83.4"/>
    <x v="42"/>
    <d v="2025-02-13T00:00:00"/>
    <x v="1"/>
    <x v="3"/>
    <x v="1"/>
    <x v="0"/>
    <x v="11"/>
    <x v="3"/>
    <x v="6"/>
    <x v="1"/>
  </r>
  <r>
    <x v="1080"/>
    <x v="10"/>
    <x v="9"/>
    <n v="29.4"/>
    <n v="147"/>
    <x v="42"/>
    <d v="2025-02-14T00:00:00"/>
    <x v="2"/>
    <x v="0"/>
    <x v="0"/>
    <x v="0"/>
    <x v="11"/>
    <x v="1"/>
    <x v="6"/>
    <x v="2"/>
  </r>
  <r>
    <x v="1081"/>
    <x v="9"/>
    <x v="1"/>
    <n v="29.2"/>
    <n v="58.4"/>
    <x v="42"/>
    <d v="2025-02-14T00:00:00"/>
    <x v="2"/>
    <x v="1"/>
    <x v="2"/>
    <x v="0"/>
    <x v="20"/>
    <x v="1"/>
    <x v="6"/>
    <x v="2"/>
  </r>
  <r>
    <x v="1082"/>
    <x v="10"/>
    <x v="9"/>
    <n v="26.5"/>
    <n v="132.5"/>
    <x v="42"/>
    <d v="2025-02-14T00:00:00"/>
    <x v="2"/>
    <x v="0"/>
    <x v="0"/>
    <x v="0"/>
    <x v="52"/>
    <x v="1"/>
    <x v="6"/>
    <x v="2"/>
  </r>
  <r>
    <x v="1083"/>
    <x v="5"/>
    <x v="0"/>
    <n v="30.3"/>
    <n v="30.3"/>
    <x v="42"/>
    <d v="2025-02-13T00:00:00"/>
    <x v="2"/>
    <x v="4"/>
    <x v="1"/>
    <x v="0"/>
    <x v="13"/>
    <x v="3"/>
    <x v="6"/>
    <x v="2"/>
  </r>
  <r>
    <x v="1084"/>
    <x v="16"/>
    <x v="4"/>
    <n v="39.700000000000003"/>
    <n v="476.40000000000003"/>
    <x v="42"/>
    <d v="2025-02-13T00:00:00"/>
    <x v="2"/>
    <x v="0"/>
    <x v="0"/>
    <x v="0"/>
    <x v="21"/>
    <x v="3"/>
    <x v="6"/>
    <x v="2"/>
  </r>
  <r>
    <x v="1085"/>
    <x v="7"/>
    <x v="7"/>
    <n v="58.9"/>
    <n v="589"/>
    <x v="42"/>
    <d v="2025-02-14T00:00:00"/>
    <x v="2"/>
    <x v="1"/>
    <x v="4"/>
    <x v="0"/>
    <x v="21"/>
    <x v="1"/>
    <x v="6"/>
    <x v="2"/>
  </r>
  <r>
    <x v="1086"/>
    <x v="2"/>
    <x v="1"/>
    <n v="174.1"/>
    <n v="348.2"/>
    <x v="42"/>
    <d v="2025-02-14T00:00:00"/>
    <x v="2"/>
    <x v="0"/>
    <x v="1"/>
    <x v="0"/>
    <x v="46"/>
    <x v="1"/>
    <x v="6"/>
    <x v="2"/>
  </r>
  <r>
    <x v="1087"/>
    <x v="6"/>
    <x v="1"/>
    <n v="70.8"/>
    <n v="141.6"/>
    <x v="42"/>
    <d v="2025-02-15T00:00:00"/>
    <x v="1"/>
    <x v="2"/>
    <x v="0"/>
    <x v="0"/>
    <x v="22"/>
    <x v="2"/>
    <x v="6"/>
    <x v="1"/>
  </r>
  <r>
    <x v="1088"/>
    <x v="7"/>
    <x v="1"/>
    <n v="57.4"/>
    <n v="114.8"/>
    <x v="42"/>
    <d v="2025-02-14T00:00:00"/>
    <x v="2"/>
    <x v="1"/>
    <x v="1"/>
    <x v="0"/>
    <x v="34"/>
    <x v="1"/>
    <x v="6"/>
    <x v="2"/>
  </r>
  <r>
    <x v="1089"/>
    <x v="0"/>
    <x v="1"/>
    <n v="28.5"/>
    <n v="57"/>
    <x v="42"/>
    <d v="2025-02-14T00:00:00"/>
    <x v="1"/>
    <x v="3"/>
    <x v="1"/>
    <x v="0"/>
    <x v="3"/>
    <x v="1"/>
    <x v="6"/>
    <x v="1"/>
  </r>
  <r>
    <x v="1090"/>
    <x v="2"/>
    <x v="28"/>
    <n v="106.6"/>
    <n v="2132"/>
    <x v="42"/>
    <d v="2025-02-13T00:00:00"/>
    <x v="0"/>
    <x v="1"/>
    <x v="4"/>
    <x v="0"/>
    <x v="3"/>
    <x v="3"/>
    <x v="6"/>
    <x v="0"/>
  </r>
  <r>
    <x v="1091"/>
    <x v="2"/>
    <x v="2"/>
    <n v="119.7"/>
    <n v="359.1"/>
    <x v="42"/>
    <d v="2025-02-13T00:00:00"/>
    <x v="2"/>
    <x v="1"/>
    <x v="4"/>
    <x v="0"/>
    <x v="3"/>
    <x v="3"/>
    <x v="6"/>
    <x v="2"/>
  </r>
  <r>
    <x v="1092"/>
    <x v="18"/>
    <x v="0"/>
    <n v="73.3"/>
    <n v="73.3"/>
    <x v="42"/>
    <d v="2025-02-17T00:00:00"/>
    <x v="2"/>
    <x v="0"/>
    <x v="2"/>
    <x v="0"/>
    <x v="3"/>
    <x v="0"/>
    <x v="6"/>
    <x v="2"/>
  </r>
  <r>
    <x v="1093"/>
    <x v="0"/>
    <x v="1"/>
    <n v="25.8"/>
    <n v="51.6"/>
    <x v="42"/>
    <d v="2025-02-26T00:00:00"/>
    <x v="1"/>
    <x v="2"/>
    <x v="0"/>
    <x v="0"/>
    <x v="3"/>
    <x v="12"/>
    <x v="6"/>
    <x v="1"/>
  </r>
  <r>
    <x v="1094"/>
    <x v="17"/>
    <x v="2"/>
    <n v="49.1"/>
    <n v="147.30000000000001"/>
    <x v="42"/>
    <d v="2025-02-14T00:00:00"/>
    <x v="2"/>
    <x v="0"/>
    <x v="0"/>
    <x v="0"/>
    <x v="24"/>
    <x v="1"/>
    <x v="6"/>
    <x v="2"/>
  </r>
  <r>
    <x v="1095"/>
    <x v="1"/>
    <x v="0"/>
    <n v="44.9"/>
    <n v="44.9"/>
    <x v="42"/>
    <d v="2025-02-15T00:00:00"/>
    <x v="2"/>
    <x v="3"/>
    <x v="2"/>
    <x v="0"/>
    <x v="6"/>
    <x v="2"/>
    <x v="6"/>
    <x v="2"/>
  </r>
  <r>
    <x v="1096"/>
    <x v="15"/>
    <x v="3"/>
    <n v="29.9"/>
    <n v="209.29999999999998"/>
    <x v="42"/>
    <d v="2025-02-13T00:00:00"/>
    <x v="2"/>
    <x v="0"/>
    <x v="0"/>
    <x v="0"/>
    <x v="6"/>
    <x v="3"/>
    <x v="6"/>
    <x v="2"/>
  </r>
  <r>
    <x v="1097"/>
    <x v="7"/>
    <x v="1"/>
    <n v="54.3"/>
    <n v="108.6"/>
    <x v="43"/>
    <d v="2025-02-14T00:00:00"/>
    <x v="1"/>
    <x v="3"/>
    <x v="0"/>
    <x v="0"/>
    <x v="36"/>
    <x v="3"/>
    <x v="6"/>
    <x v="1"/>
  </r>
  <r>
    <x v="1098"/>
    <x v="9"/>
    <x v="12"/>
    <n v="57"/>
    <n v="228"/>
    <x v="43"/>
    <d v="2025-02-15T00:00:00"/>
    <x v="2"/>
    <x v="0"/>
    <x v="0"/>
    <x v="0"/>
    <x v="8"/>
    <x v="1"/>
    <x v="6"/>
    <x v="2"/>
  </r>
  <r>
    <x v="1099"/>
    <x v="2"/>
    <x v="0"/>
    <n v="139.19999999999999"/>
    <n v="139.19999999999999"/>
    <x v="43"/>
    <d v="2025-02-14T00:00:00"/>
    <x v="2"/>
    <x v="3"/>
    <x v="2"/>
    <x v="0"/>
    <x v="8"/>
    <x v="3"/>
    <x v="6"/>
    <x v="2"/>
  </r>
  <r>
    <x v="1100"/>
    <x v="10"/>
    <x v="0"/>
    <n v="33"/>
    <n v="33"/>
    <x v="43"/>
    <d v="2025-02-16T00:00:00"/>
    <x v="2"/>
    <x v="0"/>
    <x v="2"/>
    <x v="0"/>
    <x v="8"/>
    <x v="2"/>
    <x v="6"/>
    <x v="2"/>
  </r>
  <r>
    <x v="1101"/>
    <x v="11"/>
    <x v="13"/>
    <n v="80.2"/>
    <n v="481.20000000000005"/>
    <x v="43"/>
    <d v="2025-02-15T00:00:00"/>
    <x v="1"/>
    <x v="1"/>
    <x v="4"/>
    <x v="0"/>
    <x v="8"/>
    <x v="1"/>
    <x v="6"/>
    <x v="1"/>
  </r>
  <r>
    <x v="1102"/>
    <x v="18"/>
    <x v="8"/>
    <n v="49"/>
    <n v="392"/>
    <x v="43"/>
    <d v="2025-02-14T00:00:00"/>
    <x v="0"/>
    <x v="2"/>
    <x v="1"/>
    <x v="0"/>
    <x v="9"/>
    <x v="3"/>
    <x v="6"/>
    <x v="0"/>
  </r>
  <r>
    <x v="1103"/>
    <x v="1"/>
    <x v="12"/>
    <n v="104.4"/>
    <n v="417.6"/>
    <x v="43"/>
    <d v="2025-02-13T00:00:00"/>
    <x v="2"/>
    <x v="0"/>
    <x v="0"/>
    <x v="0"/>
    <x v="9"/>
    <x v="7"/>
    <x v="6"/>
    <x v="2"/>
  </r>
  <r>
    <x v="1104"/>
    <x v="3"/>
    <x v="0"/>
    <n v="41.6"/>
    <n v="41.6"/>
    <x v="43"/>
    <d v="2025-02-16T00:00:00"/>
    <x v="1"/>
    <x v="3"/>
    <x v="0"/>
    <x v="0"/>
    <x v="11"/>
    <x v="2"/>
    <x v="6"/>
    <x v="1"/>
  </r>
  <r>
    <x v="1105"/>
    <x v="19"/>
    <x v="1"/>
    <n v="16.399999999999999"/>
    <n v="32.799999999999997"/>
    <x v="43"/>
    <d v="2025-02-14T00:00:00"/>
    <x v="3"/>
    <x v="0"/>
    <x v="2"/>
    <x v="0"/>
    <x v="11"/>
    <x v="3"/>
    <x v="6"/>
    <x v="3"/>
  </r>
  <r>
    <x v="1106"/>
    <x v="8"/>
    <x v="1"/>
    <n v="22"/>
    <n v="44"/>
    <x v="43"/>
    <d v="2025-02-14T00:00:00"/>
    <x v="1"/>
    <x v="2"/>
    <x v="2"/>
    <x v="0"/>
    <x v="53"/>
    <x v="3"/>
    <x v="6"/>
    <x v="1"/>
  </r>
  <r>
    <x v="1107"/>
    <x v="15"/>
    <x v="1"/>
    <n v="33.6"/>
    <n v="67.2"/>
    <x v="43"/>
    <d v="2025-02-18T00:00:00"/>
    <x v="2"/>
    <x v="0"/>
    <x v="0"/>
    <x v="0"/>
    <x v="21"/>
    <x v="0"/>
    <x v="6"/>
    <x v="2"/>
  </r>
  <r>
    <x v="1108"/>
    <x v="11"/>
    <x v="13"/>
    <n v="43"/>
    <n v="258"/>
    <x v="43"/>
    <d v="2025-02-14T00:00:00"/>
    <x v="2"/>
    <x v="2"/>
    <x v="0"/>
    <x v="0"/>
    <x v="21"/>
    <x v="3"/>
    <x v="6"/>
    <x v="2"/>
  </r>
  <r>
    <x v="1109"/>
    <x v="6"/>
    <x v="9"/>
    <n v="108.8"/>
    <n v="544"/>
    <x v="43"/>
    <d v="2025-02-16T00:00:00"/>
    <x v="2"/>
    <x v="4"/>
    <x v="2"/>
    <x v="0"/>
    <x v="21"/>
    <x v="2"/>
    <x v="6"/>
    <x v="2"/>
  </r>
  <r>
    <x v="1110"/>
    <x v="0"/>
    <x v="11"/>
    <n v="29.3"/>
    <n v="263.7"/>
    <x v="43"/>
    <d v="2025-02-15T00:00:00"/>
    <x v="1"/>
    <x v="4"/>
    <x v="2"/>
    <x v="0"/>
    <x v="21"/>
    <x v="1"/>
    <x v="6"/>
    <x v="1"/>
  </r>
  <r>
    <x v="1111"/>
    <x v="2"/>
    <x v="0"/>
    <n v="122.7"/>
    <n v="122.7"/>
    <x v="43"/>
    <d v="2025-02-16T00:00:00"/>
    <x v="3"/>
    <x v="0"/>
    <x v="2"/>
    <x v="0"/>
    <x v="1"/>
    <x v="2"/>
    <x v="6"/>
    <x v="3"/>
  </r>
  <r>
    <x v="1112"/>
    <x v="4"/>
    <x v="3"/>
    <n v="22.9"/>
    <n v="160.29999999999998"/>
    <x v="43"/>
    <d v="2025-02-14T00:00:00"/>
    <x v="2"/>
    <x v="0"/>
    <x v="0"/>
    <x v="0"/>
    <x v="42"/>
    <x v="3"/>
    <x v="6"/>
    <x v="2"/>
  </r>
  <r>
    <x v="1113"/>
    <x v="8"/>
    <x v="7"/>
    <n v="25.5"/>
    <n v="255"/>
    <x v="43"/>
    <d v="2025-02-20T00:00:00"/>
    <x v="2"/>
    <x v="0"/>
    <x v="0"/>
    <x v="0"/>
    <x v="33"/>
    <x v="6"/>
    <x v="6"/>
    <x v="2"/>
  </r>
  <r>
    <x v="1114"/>
    <x v="17"/>
    <x v="2"/>
    <n v="23.4"/>
    <n v="70.199999999999989"/>
    <x v="43"/>
    <d v="2025-02-17T00:00:00"/>
    <x v="2"/>
    <x v="0"/>
    <x v="2"/>
    <x v="0"/>
    <x v="3"/>
    <x v="5"/>
    <x v="6"/>
    <x v="2"/>
  </r>
  <r>
    <x v="1115"/>
    <x v="5"/>
    <x v="8"/>
    <n v="27.4"/>
    <n v="219.2"/>
    <x v="43"/>
    <d v="2025-02-16T00:00:00"/>
    <x v="2"/>
    <x v="2"/>
    <x v="0"/>
    <x v="0"/>
    <x v="3"/>
    <x v="2"/>
    <x v="6"/>
    <x v="2"/>
  </r>
  <r>
    <x v="1116"/>
    <x v="5"/>
    <x v="9"/>
    <n v="68.400000000000006"/>
    <n v="342"/>
    <x v="43"/>
    <d v="2025-02-14T00:00:00"/>
    <x v="2"/>
    <x v="0"/>
    <x v="0"/>
    <x v="0"/>
    <x v="3"/>
    <x v="3"/>
    <x v="6"/>
    <x v="2"/>
  </r>
  <r>
    <x v="1117"/>
    <x v="6"/>
    <x v="0"/>
    <n v="51.9"/>
    <n v="51.9"/>
    <x v="43"/>
    <d v="2025-02-13T00:00:00"/>
    <x v="2"/>
    <x v="0"/>
    <x v="0"/>
    <x v="0"/>
    <x v="3"/>
    <x v="7"/>
    <x v="6"/>
    <x v="2"/>
  </r>
  <r>
    <x v="1118"/>
    <x v="0"/>
    <x v="9"/>
    <n v="26.4"/>
    <n v="132"/>
    <x v="43"/>
    <d v="2025-02-16T00:00:00"/>
    <x v="2"/>
    <x v="0"/>
    <x v="2"/>
    <x v="0"/>
    <x v="3"/>
    <x v="2"/>
    <x v="6"/>
    <x v="2"/>
  </r>
  <r>
    <x v="1119"/>
    <x v="12"/>
    <x v="1"/>
    <n v="117"/>
    <n v="234"/>
    <x v="43"/>
    <d v="2025-02-14T00:00:00"/>
    <x v="2"/>
    <x v="1"/>
    <x v="1"/>
    <x v="0"/>
    <x v="3"/>
    <x v="3"/>
    <x v="6"/>
    <x v="2"/>
  </r>
  <r>
    <x v="1120"/>
    <x v="7"/>
    <x v="2"/>
    <n v="49.6"/>
    <n v="148.80000000000001"/>
    <x v="44"/>
    <d v="2025-02-16T00:00:00"/>
    <x v="2"/>
    <x v="0"/>
    <x v="0"/>
    <x v="0"/>
    <x v="3"/>
    <x v="1"/>
    <x v="6"/>
    <x v="2"/>
  </r>
  <r>
    <x v="1121"/>
    <x v="4"/>
    <x v="2"/>
    <n v="38"/>
    <n v="114"/>
    <x v="44"/>
    <d v="2025-02-17T00:00:00"/>
    <x v="1"/>
    <x v="2"/>
    <x v="4"/>
    <x v="0"/>
    <x v="3"/>
    <x v="2"/>
    <x v="6"/>
    <x v="1"/>
  </r>
  <r>
    <x v="1122"/>
    <x v="0"/>
    <x v="2"/>
    <n v="20.6"/>
    <n v="61.800000000000004"/>
    <x v="44"/>
    <d v="2025-02-16T00:00:00"/>
    <x v="2"/>
    <x v="4"/>
    <x v="2"/>
    <x v="0"/>
    <x v="3"/>
    <x v="1"/>
    <x v="6"/>
    <x v="2"/>
  </r>
  <r>
    <x v="1123"/>
    <x v="0"/>
    <x v="1"/>
    <n v="16"/>
    <n v="32"/>
    <x v="44"/>
    <d v="2025-02-15T00:00:00"/>
    <x v="1"/>
    <x v="1"/>
    <x v="1"/>
    <x v="0"/>
    <x v="49"/>
    <x v="3"/>
    <x v="6"/>
    <x v="1"/>
  </r>
  <r>
    <x v="1124"/>
    <x v="15"/>
    <x v="12"/>
    <n v="49.3"/>
    <n v="197.2"/>
    <x v="44"/>
    <d v="2025-02-15T00:00:00"/>
    <x v="2"/>
    <x v="2"/>
    <x v="0"/>
    <x v="0"/>
    <x v="23"/>
    <x v="3"/>
    <x v="6"/>
    <x v="2"/>
  </r>
  <r>
    <x v="1125"/>
    <x v="9"/>
    <x v="1"/>
    <n v="24.1"/>
    <n v="48.2"/>
    <x v="44"/>
    <d v="2025-02-18T00:00:00"/>
    <x v="2"/>
    <x v="0"/>
    <x v="0"/>
    <x v="0"/>
    <x v="6"/>
    <x v="5"/>
    <x v="6"/>
    <x v="2"/>
  </r>
  <r>
    <x v="1126"/>
    <x v="15"/>
    <x v="8"/>
    <n v="32.700000000000003"/>
    <n v="261.60000000000002"/>
    <x v="44"/>
    <d v="2025-02-15T00:00:00"/>
    <x v="2"/>
    <x v="1"/>
    <x v="0"/>
    <x v="0"/>
    <x v="6"/>
    <x v="3"/>
    <x v="6"/>
    <x v="2"/>
  </r>
  <r>
    <x v="1127"/>
    <x v="6"/>
    <x v="2"/>
    <n v="74.400000000000006"/>
    <n v="223.20000000000002"/>
    <x v="44"/>
    <d v="2025-02-15T00:00:00"/>
    <x v="2"/>
    <x v="3"/>
    <x v="2"/>
    <x v="0"/>
    <x v="8"/>
    <x v="3"/>
    <x v="6"/>
    <x v="2"/>
  </r>
  <r>
    <x v="1128"/>
    <x v="12"/>
    <x v="0"/>
    <n v="45.6"/>
    <n v="45.6"/>
    <x v="44"/>
    <d v="2025-02-18T00:00:00"/>
    <x v="2"/>
    <x v="4"/>
    <x v="0"/>
    <x v="0"/>
    <x v="8"/>
    <x v="5"/>
    <x v="6"/>
    <x v="2"/>
  </r>
  <r>
    <x v="1129"/>
    <x v="8"/>
    <x v="8"/>
    <n v="19.600000000000001"/>
    <n v="156.80000000000001"/>
    <x v="44"/>
    <d v="2025-02-27T00:00:00"/>
    <x v="2"/>
    <x v="0"/>
    <x v="0"/>
    <x v="0"/>
    <x v="8"/>
    <x v="10"/>
    <x v="6"/>
    <x v="2"/>
  </r>
  <r>
    <x v="1130"/>
    <x v="9"/>
    <x v="0"/>
    <n v="51.8"/>
    <n v="51.8"/>
    <x v="44"/>
    <d v="2025-02-15T00:00:00"/>
    <x v="2"/>
    <x v="1"/>
    <x v="0"/>
    <x v="0"/>
    <x v="8"/>
    <x v="3"/>
    <x v="6"/>
    <x v="2"/>
  </r>
  <r>
    <x v="1131"/>
    <x v="6"/>
    <x v="0"/>
    <n v="74.7"/>
    <n v="74.7"/>
    <x v="44"/>
    <d v="2025-02-15T00:00:00"/>
    <x v="1"/>
    <x v="0"/>
    <x v="1"/>
    <x v="0"/>
    <x v="8"/>
    <x v="3"/>
    <x v="6"/>
    <x v="1"/>
  </r>
  <r>
    <x v="1132"/>
    <x v="19"/>
    <x v="2"/>
    <n v="22.4"/>
    <n v="67.199999999999989"/>
    <x v="44"/>
    <d v="2025-02-15T00:00:00"/>
    <x v="2"/>
    <x v="1"/>
    <x v="2"/>
    <x v="0"/>
    <x v="9"/>
    <x v="3"/>
    <x v="6"/>
    <x v="2"/>
  </r>
  <r>
    <x v="1133"/>
    <x v="1"/>
    <x v="12"/>
    <n v="31.4"/>
    <n v="125.6"/>
    <x v="44"/>
    <d v="2025-02-15T00:00:00"/>
    <x v="2"/>
    <x v="1"/>
    <x v="0"/>
    <x v="0"/>
    <x v="9"/>
    <x v="3"/>
    <x v="6"/>
    <x v="2"/>
  </r>
  <r>
    <x v="1134"/>
    <x v="6"/>
    <x v="0"/>
    <n v="94"/>
    <n v="94"/>
    <x v="44"/>
    <d v="2025-02-14T00:00:00"/>
    <x v="2"/>
    <x v="1"/>
    <x v="2"/>
    <x v="0"/>
    <x v="10"/>
    <x v="7"/>
    <x v="6"/>
    <x v="2"/>
  </r>
  <r>
    <x v="1135"/>
    <x v="10"/>
    <x v="0"/>
    <n v="22.3"/>
    <n v="22.3"/>
    <x v="44"/>
    <d v="2025-02-15T00:00:00"/>
    <x v="1"/>
    <x v="4"/>
    <x v="0"/>
    <x v="0"/>
    <x v="20"/>
    <x v="3"/>
    <x v="6"/>
    <x v="1"/>
  </r>
  <r>
    <x v="1136"/>
    <x v="0"/>
    <x v="0"/>
    <n v="21.9"/>
    <n v="21.9"/>
    <x v="44"/>
    <d v="2025-02-17T00:00:00"/>
    <x v="2"/>
    <x v="2"/>
    <x v="0"/>
    <x v="0"/>
    <x v="21"/>
    <x v="2"/>
    <x v="6"/>
    <x v="2"/>
  </r>
  <r>
    <x v="1137"/>
    <x v="17"/>
    <x v="2"/>
    <n v="27"/>
    <n v="81"/>
    <x v="44"/>
    <d v="2025-02-16T00:00:00"/>
    <x v="2"/>
    <x v="4"/>
    <x v="2"/>
    <x v="0"/>
    <x v="2"/>
    <x v="1"/>
    <x v="6"/>
    <x v="2"/>
  </r>
  <r>
    <x v="1138"/>
    <x v="2"/>
    <x v="12"/>
    <n v="149.6"/>
    <n v="598.4"/>
    <x v="44"/>
    <d v="2025-02-14T00:00:00"/>
    <x v="2"/>
    <x v="4"/>
    <x v="0"/>
    <x v="0"/>
    <x v="22"/>
    <x v="7"/>
    <x v="6"/>
    <x v="2"/>
  </r>
  <r>
    <x v="1139"/>
    <x v="2"/>
    <x v="12"/>
    <n v="129.1"/>
    <n v="516.4"/>
    <x v="44"/>
    <d v="2025-02-24T00:00:00"/>
    <x v="1"/>
    <x v="0"/>
    <x v="1"/>
    <x v="0"/>
    <x v="3"/>
    <x v="14"/>
    <x v="6"/>
    <x v="1"/>
  </r>
  <r>
    <x v="1140"/>
    <x v="1"/>
    <x v="4"/>
    <n v="40.4"/>
    <n v="484.79999999999995"/>
    <x v="44"/>
    <d v="2025-02-15T00:00:00"/>
    <x v="1"/>
    <x v="1"/>
    <x v="1"/>
    <x v="0"/>
    <x v="3"/>
    <x v="3"/>
    <x v="6"/>
    <x v="1"/>
  </r>
  <r>
    <x v="1141"/>
    <x v="4"/>
    <x v="2"/>
    <n v="48.5"/>
    <n v="145.5"/>
    <x v="44"/>
    <d v="2025-02-16T00:00:00"/>
    <x v="2"/>
    <x v="0"/>
    <x v="4"/>
    <x v="0"/>
    <x v="3"/>
    <x v="1"/>
    <x v="6"/>
    <x v="2"/>
  </r>
  <r>
    <x v="1142"/>
    <x v="9"/>
    <x v="1"/>
    <n v="37.6"/>
    <n v="75.2"/>
    <x v="44"/>
    <d v="2025-02-16T00:00:00"/>
    <x v="2"/>
    <x v="1"/>
    <x v="2"/>
    <x v="0"/>
    <x v="3"/>
    <x v="1"/>
    <x v="6"/>
    <x v="2"/>
  </r>
  <r>
    <x v="1143"/>
    <x v="8"/>
    <x v="1"/>
    <n v="19.600000000000001"/>
    <n v="39.200000000000003"/>
    <x v="44"/>
    <d v="2025-02-15T00:00:00"/>
    <x v="1"/>
    <x v="3"/>
    <x v="4"/>
    <x v="0"/>
    <x v="43"/>
    <x v="3"/>
    <x v="6"/>
    <x v="1"/>
  </r>
  <r>
    <x v="1144"/>
    <x v="8"/>
    <x v="9"/>
    <n v="18.5"/>
    <n v="92.5"/>
    <x v="44"/>
    <d v="2025-02-15T00:00:00"/>
    <x v="2"/>
    <x v="2"/>
    <x v="1"/>
    <x v="0"/>
    <x v="6"/>
    <x v="3"/>
    <x v="6"/>
    <x v="2"/>
  </r>
  <r>
    <x v="1145"/>
    <x v="5"/>
    <x v="2"/>
    <n v="25.5"/>
    <n v="76.5"/>
    <x v="44"/>
    <d v="2025-02-16T00:00:00"/>
    <x v="2"/>
    <x v="4"/>
    <x v="1"/>
    <x v="0"/>
    <x v="6"/>
    <x v="1"/>
    <x v="6"/>
    <x v="2"/>
  </r>
  <r>
    <x v="1146"/>
    <x v="2"/>
    <x v="1"/>
    <n v="94.7"/>
    <n v="189.4"/>
    <x v="44"/>
    <d v="2025-02-15T00:00:00"/>
    <x v="2"/>
    <x v="2"/>
    <x v="0"/>
    <x v="0"/>
    <x v="36"/>
    <x v="3"/>
    <x v="6"/>
    <x v="2"/>
  </r>
  <r>
    <x v="1147"/>
    <x v="1"/>
    <x v="13"/>
    <n v="38.799999999999997"/>
    <n v="232.79999999999998"/>
    <x v="44"/>
    <d v="2025-02-19T00:00:00"/>
    <x v="2"/>
    <x v="2"/>
    <x v="2"/>
    <x v="0"/>
    <x v="8"/>
    <x v="0"/>
    <x v="6"/>
    <x v="2"/>
  </r>
  <r>
    <x v="1148"/>
    <x v="9"/>
    <x v="1"/>
    <n v="49.4"/>
    <n v="98.8"/>
    <x v="45"/>
    <d v="2025-02-23T00:00:00"/>
    <x v="1"/>
    <x v="4"/>
    <x v="1"/>
    <x v="0"/>
    <x v="8"/>
    <x v="9"/>
    <x v="6"/>
    <x v="1"/>
  </r>
  <r>
    <x v="1149"/>
    <x v="7"/>
    <x v="2"/>
    <n v="68"/>
    <n v="204"/>
    <x v="45"/>
    <d v="2025-02-18T00:00:00"/>
    <x v="1"/>
    <x v="0"/>
    <x v="2"/>
    <x v="0"/>
    <x v="8"/>
    <x v="2"/>
    <x v="6"/>
    <x v="1"/>
  </r>
  <r>
    <x v="1150"/>
    <x v="15"/>
    <x v="3"/>
    <n v="63.7"/>
    <n v="445.90000000000003"/>
    <x v="45"/>
    <d v="2025-02-16T00:00:00"/>
    <x v="2"/>
    <x v="2"/>
    <x v="2"/>
    <x v="0"/>
    <x v="8"/>
    <x v="3"/>
    <x v="6"/>
    <x v="2"/>
  </r>
  <r>
    <x v="1151"/>
    <x v="10"/>
    <x v="1"/>
    <n v="66.2"/>
    <n v="132.4"/>
    <x v="45"/>
    <d v="2025-02-16T00:00:00"/>
    <x v="2"/>
    <x v="4"/>
    <x v="2"/>
    <x v="0"/>
    <x v="17"/>
    <x v="3"/>
    <x v="6"/>
    <x v="2"/>
  </r>
  <r>
    <x v="1152"/>
    <x v="12"/>
    <x v="2"/>
    <n v="32.299999999999997"/>
    <n v="96.899999999999991"/>
    <x v="45"/>
    <d v="2025-02-16T00:00:00"/>
    <x v="3"/>
    <x v="2"/>
    <x v="1"/>
    <x v="0"/>
    <x v="9"/>
    <x v="3"/>
    <x v="6"/>
    <x v="3"/>
  </r>
  <r>
    <x v="1153"/>
    <x v="4"/>
    <x v="1"/>
    <n v="66.900000000000006"/>
    <n v="133.80000000000001"/>
    <x v="45"/>
    <d v="2025-02-18T00:00:00"/>
    <x v="1"/>
    <x v="1"/>
    <x v="0"/>
    <x v="0"/>
    <x v="11"/>
    <x v="2"/>
    <x v="6"/>
    <x v="1"/>
  </r>
  <r>
    <x v="1154"/>
    <x v="4"/>
    <x v="4"/>
    <n v="25.2"/>
    <n v="302.39999999999998"/>
    <x v="45"/>
    <d v="2025-02-19T00:00:00"/>
    <x v="2"/>
    <x v="0"/>
    <x v="1"/>
    <x v="0"/>
    <x v="11"/>
    <x v="5"/>
    <x v="6"/>
    <x v="2"/>
  </r>
  <r>
    <x v="1155"/>
    <x v="10"/>
    <x v="13"/>
    <n v="29.5"/>
    <n v="177"/>
    <x v="45"/>
    <d v="2025-02-16T00:00:00"/>
    <x v="1"/>
    <x v="2"/>
    <x v="0"/>
    <x v="0"/>
    <x v="11"/>
    <x v="3"/>
    <x v="6"/>
    <x v="1"/>
  </r>
  <r>
    <x v="1156"/>
    <x v="8"/>
    <x v="9"/>
    <n v="21.6"/>
    <n v="108"/>
    <x v="45"/>
    <d v="2025-02-17T00:00:00"/>
    <x v="2"/>
    <x v="0"/>
    <x v="2"/>
    <x v="0"/>
    <x v="32"/>
    <x v="1"/>
    <x v="6"/>
    <x v="2"/>
  </r>
  <r>
    <x v="1157"/>
    <x v="12"/>
    <x v="2"/>
    <n v="69"/>
    <n v="207"/>
    <x v="45"/>
    <d v="2025-02-16T00:00:00"/>
    <x v="2"/>
    <x v="0"/>
    <x v="0"/>
    <x v="0"/>
    <x v="18"/>
    <x v="3"/>
    <x v="6"/>
    <x v="2"/>
  </r>
  <r>
    <x v="1158"/>
    <x v="7"/>
    <x v="1"/>
    <n v="115"/>
    <n v="230"/>
    <x v="45"/>
    <d v="2025-02-19T00:00:00"/>
    <x v="1"/>
    <x v="0"/>
    <x v="2"/>
    <x v="0"/>
    <x v="18"/>
    <x v="5"/>
    <x v="6"/>
    <x v="1"/>
  </r>
  <r>
    <x v="1159"/>
    <x v="2"/>
    <x v="1"/>
    <n v="109.3"/>
    <n v="218.6"/>
    <x v="45"/>
    <d v="2025-02-17T00:00:00"/>
    <x v="0"/>
    <x v="3"/>
    <x v="1"/>
    <x v="0"/>
    <x v="19"/>
    <x v="1"/>
    <x v="6"/>
    <x v="0"/>
  </r>
  <r>
    <x v="1160"/>
    <x v="9"/>
    <x v="1"/>
    <n v="66.599999999999994"/>
    <n v="133.19999999999999"/>
    <x v="45"/>
    <d v="2025-02-18T00:00:00"/>
    <x v="0"/>
    <x v="4"/>
    <x v="1"/>
    <x v="0"/>
    <x v="19"/>
    <x v="2"/>
    <x v="6"/>
    <x v="0"/>
  </r>
  <r>
    <x v="1161"/>
    <x v="12"/>
    <x v="9"/>
    <n v="47.7"/>
    <n v="238.5"/>
    <x v="45"/>
    <d v="2025-02-16T00:00:00"/>
    <x v="1"/>
    <x v="3"/>
    <x v="2"/>
    <x v="0"/>
    <x v="21"/>
    <x v="3"/>
    <x v="6"/>
    <x v="1"/>
  </r>
  <r>
    <x v="1162"/>
    <x v="8"/>
    <x v="1"/>
    <n v="46"/>
    <n v="92"/>
    <x v="45"/>
    <d v="2025-02-16T00:00:00"/>
    <x v="2"/>
    <x v="4"/>
    <x v="4"/>
    <x v="0"/>
    <x v="22"/>
    <x v="3"/>
    <x v="6"/>
    <x v="2"/>
  </r>
  <r>
    <x v="1163"/>
    <x v="1"/>
    <x v="13"/>
    <n v="39.299999999999997"/>
    <n v="235.79999999999998"/>
    <x v="45"/>
    <d v="2025-02-17T00:00:00"/>
    <x v="1"/>
    <x v="3"/>
    <x v="2"/>
    <x v="0"/>
    <x v="3"/>
    <x v="1"/>
    <x v="6"/>
    <x v="1"/>
  </r>
  <r>
    <x v="1164"/>
    <x v="9"/>
    <x v="0"/>
    <n v="70.2"/>
    <n v="70.2"/>
    <x v="45"/>
    <d v="2025-02-16T00:00:00"/>
    <x v="2"/>
    <x v="0"/>
    <x v="4"/>
    <x v="0"/>
    <x v="3"/>
    <x v="3"/>
    <x v="6"/>
    <x v="2"/>
  </r>
  <r>
    <x v="1165"/>
    <x v="3"/>
    <x v="12"/>
    <n v="71.5"/>
    <n v="286"/>
    <x v="45"/>
    <d v="2025-02-15T00:00:00"/>
    <x v="2"/>
    <x v="1"/>
    <x v="2"/>
    <x v="0"/>
    <x v="3"/>
    <x v="7"/>
    <x v="6"/>
    <x v="2"/>
  </r>
  <r>
    <x v="1166"/>
    <x v="10"/>
    <x v="3"/>
    <n v="31"/>
    <n v="217"/>
    <x v="45"/>
    <d v="2025-02-22T00:00:00"/>
    <x v="2"/>
    <x v="3"/>
    <x v="2"/>
    <x v="0"/>
    <x v="3"/>
    <x v="6"/>
    <x v="6"/>
    <x v="2"/>
  </r>
  <r>
    <x v="1167"/>
    <x v="2"/>
    <x v="9"/>
    <n v="68.2"/>
    <n v="341"/>
    <x v="45"/>
    <d v="2025-02-20T00:00:00"/>
    <x v="2"/>
    <x v="0"/>
    <x v="2"/>
    <x v="0"/>
    <x v="3"/>
    <x v="0"/>
    <x v="6"/>
    <x v="2"/>
  </r>
  <r>
    <x v="1168"/>
    <x v="2"/>
    <x v="0"/>
    <n v="91.4"/>
    <n v="91.4"/>
    <x v="45"/>
    <d v="2025-02-19T00:00:00"/>
    <x v="2"/>
    <x v="1"/>
    <x v="2"/>
    <x v="0"/>
    <x v="6"/>
    <x v="5"/>
    <x v="6"/>
    <x v="2"/>
  </r>
  <r>
    <x v="1169"/>
    <x v="6"/>
    <x v="7"/>
    <n v="112.9"/>
    <n v="1129"/>
    <x v="45"/>
    <d v="2025-02-16T00:00:00"/>
    <x v="2"/>
    <x v="0"/>
    <x v="0"/>
    <x v="0"/>
    <x v="6"/>
    <x v="3"/>
    <x v="6"/>
    <x v="2"/>
  </r>
  <r>
    <x v="1170"/>
    <x v="17"/>
    <x v="11"/>
    <n v="33.700000000000003"/>
    <n v="303.3"/>
    <x v="45"/>
    <d v="2025-02-16T00:00:00"/>
    <x v="2"/>
    <x v="1"/>
    <x v="2"/>
    <x v="0"/>
    <x v="8"/>
    <x v="3"/>
    <x v="6"/>
    <x v="2"/>
  </r>
  <r>
    <x v="1171"/>
    <x v="15"/>
    <x v="7"/>
    <n v="35.299999999999997"/>
    <n v="353"/>
    <x v="45"/>
    <d v="2025-02-17T00:00:00"/>
    <x v="1"/>
    <x v="2"/>
    <x v="0"/>
    <x v="0"/>
    <x v="8"/>
    <x v="1"/>
    <x v="6"/>
    <x v="1"/>
  </r>
  <r>
    <x v="1172"/>
    <x v="18"/>
    <x v="2"/>
    <n v="45.6"/>
    <n v="136.80000000000001"/>
    <x v="45"/>
    <d v="2025-02-19T00:00:00"/>
    <x v="1"/>
    <x v="3"/>
    <x v="0"/>
    <x v="0"/>
    <x v="8"/>
    <x v="5"/>
    <x v="6"/>
    <x v="1"/>
  </r>
  <r>
    <x v="1173"/>
    <x v="7"/>
    <x v="3"/>
    <n v="47.1"/>
    <n v="329.7"/>
    <x v="45"/>
    <d v="2025-02-16T00:00:00"/>
    <x v="2"/>
    <x v="4"/>
    <x v="2"/>
    <x v="0"/>
    <x v="9"/>
    <x v="3"/>
    <x v="6"/>
    <x v="2"/>
  </r>
  <r>
    <x v="1174"/>
    <x v="8"/>
    <x v="9"/>
    <n v="16.2"/>
    <n v="81"/>
    <x v="45"/>
    <d v="2025-02-17T00:00:00"/>
    <x v="2"/>
    <x v="3"/>
    <x v="2"/>
    <x v="0"/>
    <x v="19"/>
    <x v="1"/>
    <x v="6"/>
    <x v="2"/>
  </r>
  <r>
    <x v="1175"/>
    <x v="1"/>
    <x v="1"/>
    <n v="159.69999999999999"/>
    <n v="319.39999999999998"/>
    <x v="46"/>
    <d v="2025-02-17T00:00:00"/>
    <x v="1"/>
    <x v="4"/>
    <x v="0"/>
    <x v="0"/>
    <x v="13"/>
    <x v="3"/>
    <x v="7"/>
    <x v="1"/>
  </r>
  <r>
    <x v="1176"/>
    <x v="8"/>
    <x v="12"/>
    <n v="19"/>
    <n v="76"/>
    <x v="46"/>
    <d v="2025-02-23T00:00:00"/>
    <x v="2"/>
    <x v="2"/>
    <x v="2"/>
    <x v="0"/>
    <x v="21"/>
    <x v="6"/>
    <x v="7"/>
    <x v="2"/>
  </r>
  <r>
    <x v="1177"/>
    <x v="6"/>
    <x v="13"/>
    <n v="91.1"/>
    <n v="546.59999999999991"/>
    <x v="46"/>
    <d v="2025-02-25T00:00:00"/>
    <x v="2"/>
    <x v="4"/>
    <x v="0"/>
    <x v="0"/>
    <x v="21"/>
    <x v="8"/>
    <x v="7"/>
    <x v="2"/>
  </r>
  <r>
    <x v="1178"/>
    <x v="2"/>
    <x v="9"/>
    <n v="94.1"/>
    <n v="470.5"/>
    <x v="46"/>
    <d v="2025-02-19T00:00:00"/>
    <x v="0"/>
    <x v="1"/>
    <x v="1"/>
    <x v="0"/>
    <x v="21"/>
    <x v="2"/>
    <x v="7"/>
    <x v="0"/>
  </r>
  <r>
    <x v="1179"/>
    <x v="9"/>
    <x v="11"/>
    <n v="21.1"/>
    <n v="189.9"/>
    <x v="46"/>
    <d v="2025-02-17T00:00:00"/>
    <x v="2"/>
    <x v="4"/>
    <x v="2"/>
    <x v="0"/>
    <x v="51"/>
    <x v="3"/>
    <x v="7"/>
    <x v="2"/>
  </r>
  <r>
    <x v="1180"/>
    <x v="8"/>
    <x v="3"/>
    <n v="15.3"/>
    <n v="107.10000000000001"/>
    <x v="46"/>
    <d v="2025-02-24T00:00:00"/>
    <x v="2"/>
    <x v="2"/>
    <x v="0"/>
    <x v="0"/>
    <x v="1"/>
    <x v="9"/>
    <x v="7"/>
    <x v="2"/>
  </r>
  <r>
    <x v="1181"/>
    <x v="15"/>
    <x v="12"/>
    <n v="21.3"/>
    <n v="85.2"/>
    <x v="46"/>
    <d v="2025-02-19T00:00:00"/>
    <x v="1"/>
    <x v="1"/>
    <x v="0"/>
    <x v="0"/>
    <x v="3"/>
    <x v="2"/>
    <x v="7"/>
    <x v="1"/>
  </r>
  <r>
    <x v="1182"/>
    <x v="0"/>
    <x v="1"/>
    <n v="23.2"/>
    <n v="46.4"/>
    <x v="46"/>
    <d v="2025-02-16T00:00:00"/>
    <x v="0"/>
    <x v="3"/>
    <x v="1"/>
    <x v="0"/>
    <x v="3"/>
    <x v="7"/>
    <x v="7"/>
    <x v="0"/>
  </r>
  <r>
    <x v="1183"/>
    <x v="4"/>
    <x v="2"/>
    <n v="25.7"/>
    <n v="77.099999999999994"/>
    <x v="46"/>
    <d v="2025-02-17T00:00:00"/>
    <x v="1"/>
    <x v="4"/>
    <x v="0"/>
    <x v="0"/>
    <x v="3"/>
    <x v="3"/>
    <x v="7"/>
    <x v="1"/>
  </r>
  <r>
    <x v="1184"/>
    <x v="0"/>
    <x v="11"/>
    <n v="31.6"/>
    <n v="284.40000000000003"/>
    <x v="46"/>
    <d v="2025-02-18T00:00:00"/>
    <x v="2"/>
    <x v="0"/>
    <x v="0"/>
    <x v="0"/>
    <x v="3"/>
    <x v="1"/>
    <x v="7"/>
    <x v="2"/>
  </r>
  <r>
    <x v="1185"/>
    <x v="6"/>
    <x v="0"/>
    <n v="64.2"/>
    <n v="64.2"/>
    <x v="46"/>
    <d v="2025-02-21T00:00:00"/>
    <x v="1"/>
    <x v="0"/>
    <x v="0"/>
    <x v="0"/>
    <x v="3"/>
    <x v="0"/>
    <x v="7"/>
    <x v="1"/>
  </r>
  <r>
    <x v="1186"/>
    <x v="8"/>
    <x v="1"/>
    <n v="55.8"/>
    <n v="111.6"/>
    <x v="46"/>
    <d v="2025-02-18T00:00:00"/>
    <x v="0"/>
    <x v="0"/>
    <x v="0"/>
    <x v="0"/>
    <x v="3"/>
    <x v="1"/>
    <x v="7"/>
    <x v="0"/>
  </r>
  <r>
    <x v="1187"/>
    <x v="8"/>
    <x v="1"/>
    <n v="28.1"/>
    <n v="56.2"/>
    <x v="46"/>
    <d v="2025-02-17T00:00:00"/>
    <x v="2"/>
    <x v="4"/>
    <x v="1"/>
    <x v="0"/>
    <x v="3"/>
    <x v="3"/>
    <x v="7"/>
    <x v="2"/>
  </r>
  <r>
    <x v="1188"/>
    <x v="0"/>
    <x v="1"/>
    <n v="11.6"/>
    <n v="23.2"/>
    <x v="46"/>
    <d v="2025-02-18T00:00:00"/>
    <x v="2"/>
    <x v="1"/>
    <x v="0"/>
    <x v="0"/>
    <x v="24"/>
    <x v="1"/>
    <x v="7"/>
    <x v="2"/>
  </r>
  <r>
    <x v="1189"/>
    <x v="5"/>
    <x v="2"/>
    <n v="50.4"/>
    <n v="151.19999999999999"/>
    <x v="46"/>
    <d v="2025-02-17T00:00:00"/>
    <x v="1"/>
    <x v="4"/>
    <x v="2"/>
    <x v="0"/>
    <x v="25"/>
    <x v="3"/>
    <x v="7"/>
    <x v="1"/>
  </r>
  <r>
    <x v="1190"/>
    <x v="6"/>
    <x v="13"/>
    <n v="48.3"/>
    <n v="289.79999999999995"/>
    <x v="46"/>
    <d v="2025-02-20T00:00:00"/>
    <x v="2"/>
    <x v="0"/>
    <x v="0"/>
    <x v="0"/>
    <x v="25"/>
    <x v="5"/>
    <x v="7"/>
    <x v="2"/>
  </r>
  <r>
    <x v="1191"/>
    <x v="17"/>
    <x v="3"/>
    <n v="32.200000000000003"/>
    <n v="225.40000000000003"/>
    <x v="46"/>
    <d v="2025-02-18T00:00:00"/>
    <x v="2"/>
    <x v="2"/>
    <x v="0"/>
    <x v="0"/>
    <x v="25"/>
    <x v="1"/>
    <x v="7"/>
    <x v="2"/>
  </r>
  <r>
    <x v="1192"/>
    <x v="7"/>
    <x v="31"/>
    <n v="48.5"/>
    <n v="1358"/>
    <x v="46"/>
    <d v="2025-02-17T00:00:00"/>
    <x v="1"/>
    <x v="0"/>
    <x v="0"/>
    <x v="0"/>
    <x v="5"/>
    <x v="3"/>
    <x v="7"/>
    <x v="1"/>
  </r>
  <r>
    <x v="1193"/>
    <x v="2"/>
    <x v="9"/>
    <n v="62"/>
    <n v="310"/>
    <x v="46"/>
    <d v="2025-02-19T00:00:00"/>
    <x v="2"/>
    <x v="1"/>
    <x v="0"/>
    <x v="0"/>
    <x v="6"/>
    <x v="2"/>
    <x v="7"/>
    <x v="2"/>
  </r>
  <r>
    <x v="1194"/>
    <x v="8"/>
    <x v="2"/>
    <n v="32.1"/>
    <n v="96.300000000000011"/>
    <x v="47"/>
    <d v="2025-02-19T00:00:00"/>
    <x v="1"/>
    <x v="0"/>
    <x v="0"/>
    <x v="0"/>
    <x v="6"/>
    <x v="1"/>
    <x v="7"/>
    <x v="1"/>
  </r>
  <r>
    <x v="1195"/>
    <x v="12"/>
    <x v="2"/>
    <n v="106.1"/>
    <n v="318.29999999999995"/>
    <x v="47"/>
    <d v="2025-02-19T00:00:00"/>
    <x v="1"/>
    <x v="0"/>
    <x v="1"/>
    <x v="0"/>
    <x v="7"/>
    <x v="1"/>
    <x v="7"/>
    <x v="1"/>
  </r>
  <r>
    <x v="1196"/>
    <x v="10"/>
    <x v="2"/>
    <n v="23.5"/>
    <n v="70.5"/>
    <x v="47"/>
    <d v="2025-02-20T00:00:00"/>
    <x v="1"/>
    <x v="0"/>
    <x v="4"/>
    <x v="0"/>
    <x v="7"/>
    <x v="2"/>
    <x v="7"/>
    <x v="1"/>
  </r>
  <r>
    <x v="1197"/>
    <x v="1"/>
    <x v="1"/>
    <n v="35.6"/>
    <n v="71.2"/>
    <x v="47"/>
    <d v="2025-02-22T00:00:00"/>
    <x v="1"/>
    <x v="4"/>
    <x v="0"/>
    <x v="0"/>
    <x v="8"/>
    <x v="0"/>
    <x v="7"/>
    <x v="1"/>
  </r>
  <r>
    <x v="1198"/>
    <x v="1"/>
    <x v="1"/>
    <n v="63.5"/>
    <n v="127"/>
    <x v="47"/>
    <d v="2025-02-17T00:00:00"/>
    <x v="2"/>
    <x v="1"/>
    <x v="2"/>
    <x v="0"/>
    <x v="8"/>
    <x v="7"/>
    <x v="7"/>
    <x v="2"/>
  </r>
  <r>
    <x v="1199"/>
    <x v="6"/>
    <x v="3"/>
    <n v="82.9"/>
    <n v="580.30000000000007"/>
    <x v="47"/>
    <d v="2025-02-22T00:00:00"/>
    <x v="2"/>
    <x v="4"/>
    <x v="0"/>
    <x v="0"/>
    <x v="9"/>
    <x v="0"/>
    <x v="7"/>
    <x v="2"/>
  </r>
  <r>
    <x v="1200"/>
    <x v="6"/>
    <x v="1"/>
    <n v="83.6"/>
    <n v="167.2"/>
    <x v="47"/>
    <d v="2025-02-22T00:00:00"/>
    <x v="2"/>
    <x v="0"/>
    <x v="0"/>
    <x v="0"/>
    <x v="11"/>
    <x v="0"/>
    <x v="7"/>
    <x v="2"/>
  </r>
  <r>
    <x v="1201"/>
    <x v="4"/>
    <x v="1"/>
    <n v="29.4"/>
    <n v="58.8"/>
    <x v="47"/>
    <d v="2025-02-17T00:00:00"/>
    <x v="2"/>
    <x v="0"/>
    <x v="1"/>
    <x v="0"/>
    <x v="30"/>
    <x v="7"/>
    <x v="7"/>
    <x v="2"/>
  </r>
  <r>
    <x v="1202"/>
    <x v="2"/>
    <x v="2"/>
    <n v="107.1"/>
    <n v="321.29999999999995"/>
    <x v="47"/>
    <d v="2025-02-21T00:00:00"/>
    <x v="2"/>
    <x v="2"/>
    <x v="0"/>
    <x v="0"/>
    <x v="20"/>
    <x v="5"/>
    <x v="7"/>
    <x v="2"/>
  </r>
  <r>
    <x v="1203"/>
    <x v="2"/>
    <x v="0"/>
    <n v="62.7"/>
    <n v="62.7"/>
    <x v="47"/>
    <d v="2025-02-21T00:00:00"/>
    <x v="1"/>
    <x v="1"/>
    <x v="0"/>
    <x v="0"/>
    <x v="21"/>
    <x v="5"/>
    <x v="7"/>
    <x v="1"/>
  </r>
  <r>
    <x v="1204"/>
    <x v="11"/>
    <x v="0"/>
    <n v="41.6"/>
    <n v="41.6"/>
    <x v="47"/>
    <d v="2025-02-18T00:00:00"/>
    <x v="1"/>
    <x v="0"/>
    <x v="1"/>
    <x v="0"/>
    <x v="1"/>
    <x v="3"/>
    <x v="7"/>
    <x v="1"/>
  </r>
  <r>
    <x v="1205"/>
    <x v="6"/>
    <x v="0"/>
    <n v="44.2"/>
    <n v="44.2"/>
    <x v="47"/>
    <d v="2025-02-18T00:00:00"/>
    <x v="3"/>
    <x v="0"/>
    <x v="1"/>
    <x v="0"/>
    <x v="1"/>
    <x v="3"/>
    <x v="7"/>
    <x v="3"/>
  </r>
  <r>
    <x v="1206"/>
    <x v="4"/>
    <x v="13"/>
    <n v="40.4"/>
    <n v="242.39999999999998"/>
    <x v="47"/>
    <d v="2025-03-02T00:00:00"/>
    <x v="2"/>
    <x v="2"/>
    <x v="0"/>
    <x v="0"/>
    <x v="22"/>
    <x v="10"/>
    <x v="7"/>
    <x v="2"/>
  </r>
  <r>
    <x v="1207"/>
    <x v="15"/>
    <x v="13"/>
    <n v="59.6"/>
    <n v="357.6"/>
    <x v="47"/>
    <d v="2025-02-18T00:00:00"/>
    <x v="2"/>
    <x v="4"/>
    <x v="0"/>
    <x v="0"/>
    <x v="34"/>
    <x v="3"/>
    <x v="7"/>
    <x v="2"/>
  </r>
  <r>
    <x v="1208"/>
    <x v="17"/>
    <x v="4"/>
    <n v="63.8"/>
    <n v="765.59999999999991"/>
    <x v="47"/>
    <d v="2025-02-18T00:00:00"/>
    <x v="1"/>
    <x v="1"/>
    <x v="0"/>
    <x v="0"/>
    <x v="3"/>
    <x v="3"/>
    <x v="7"/>
    <x v="1"/>
  </r>
  <r>
    <x v="1209"/>
    <x v="9"/>
    <x v="13"/>
    <n v="30.8"/>
    <n v="184.8"/>
    <x v="47"/>
    <d v="2025-02-19T00:00:00"/>
    <x v="1"/>
    <x v="4"/>
    <x v="0"/>
    <x v="0"/>
    <x v="3"/>
    <x v="1"/>
    <x v="7"/>
    <x v="1"/>
  </r>
  <r>
    <x v="1210"/>
    <x v="1"/>
    <x v="1"/>
    <n v="41.5"/>
    <n v="83"/>
    <x v="47"/>
    <d v="2025-02-20T00:00:00"/>
    <x v="3"/>
    <x v="0"/>
    <x v="0"/>
    <x v="0"/>
    <x v="3"/>
    <x v="2"/>
    <x v="7"/>
    <x v="3"/>
  </r>
  <r>
    <x v="1211"/>
    <x v="10"/>
    <x v="12"/>
    <n v="44.7"/>
    <n v="178.8"/>
    <x v="47"/>
    <d v="2025-02-19T00:00:00"/>
    <x v="2"/>
    <x v="2"/>
    <x v="1"/>
    <x v="0"/>
    <x v="3"/>
    <x v="1"/>
    <x v="7"/>
    <x v="2"/>
  </r>
  <r>
    <x v="1212"/>
    <x v="12"/>
    <x v="1"/>
    <n v="64.099999999999994"/>
    <n v="128.19999999999999"/>
    <x v="47"/>
    <d v="2025-02-21T00:00:00"/>
    <x v="2"/>
    <x v="1"/>
    <x v="4"/>
    <x v="0"/>
    <x v="3"/>
    <x v="5"/>
    <x v="7"/>
    <x v="2"/>
  </r>
  <r>
    <x v="1213"/>
    <x v="8"/>
    <x v="0"/>
    <n v="15.9"/>
    <n v="15.9"/>
    <x v="47"/>
    <d v="2025-02-20T00:00:00"/>
    <x v="0"/>
    <x v="1"/>
    <x v="0"/>
    <x v="0"/>
    <x v="3"/>
    <x v="2"/>
    <x v="7"/>
    <x v="0"/>
  </r>
  <r>
    <x v="1214"/>
    <x v="6"/>
    <x v="1"/>
    <n v="78.7"/>
    <n v="157.4"/>
    <x v="47"/>
    <d v="2025-02-17T00:00:00"/>
    <x v="2"/>
    <x v="2"/>
    <x v="1"/>
    <x v="0"/>
    <x v="3"/>
    <x v="7"/>
    <x v="7"/>
    <x v="2"/>
  </r>
  <r>
    <x v="1215"/>
    <x v="5"/>
    <x v="4"/>
    <n v="29.6"/>
    <n v="355.20000000000005"/>
    <x v="47"/>
    <d v="2025-02-21T00:00:00"/>
    <x v="1"/>
    <x v="2"/>
    <x v="4"/>
    <x v="0"/>
    <x v="3"/>
    <x v="5"/>
    <x v="7"/>
    <x v="1"/>
  </r>
  <r>
    <x v="1216"/>
    <x v="8"/>
    <x v="12"/>
    <n v="21.5"/>
    <n v="86"/>
    <x v="47"/>
    <d v="2025-02-20T00:00:00"/>
    <x v="1"/>
    <x v="1"/>
    <x v="0"/>
    <x v="0"/>
    <x v="3"/>
    <x v="2"/>
    <x v="7"/>
    <x v="1"/>
  </r>
  <r>
    <x v="1217"/>
    <x v="9"/>
    <x v="2"/>
    <n v="74.900000000000006"/>
    <n v="224.70000000000002"/>
    <x v="47"/>
    <d v="2025-02-26T00:00:00"/>
    <x v="1"/>
    <x v="3"/>
    <x v="1"/>
    <x v="0"/>
    <x v="3"/>
    <x v="8"/>
    <x v="7"/>
    <x v="1"/>
  </r>
  <r>
    <x v="1218"/>
    <x v="10"/>
    <x v="13"/>
    <n v="45"/>
    <n v="270"/>
    <x v="47"/>
    <d v="2025-02-22T00:00:00"/>
    <x v="2"/>
    <x v="2"/>
    <x v="0"/>
    <x v="0"/>
    <x v="3"/>
    <x v="0"/>
    <x v="7"/>
    <x v="2"/>
  </r>
  <r>
    <x v="1219"/>
    <x v="7"/>
    <x v="33"/>
    <n v="37.9"/>
    <n v="1288.5999999999999"/>
    <x v="47"/>
    <d v="2025-02-18T00:00:00"/>
    <x v="1"/>
    <x v="0"/>
    <x v="0"/>
    <x v="0"/>
    <x v="3"/>
    <x v="3"/>
    <x v="7"/>
    <x v="1"/>
  </r>
  <r>
    <x v="1220"/>
    <x v="6"/>
    <x v="2"/>
    <n v="56.6"/>
    <n v="169.8"/>
    <x v="47"/>
    <d v="2025-02-18T00:00:00"/>
    <x v="1"/>
    <x v="3"/>
    <x v="0"/>
    <x v="0"/>
    <x v="3"/>
    <x v="3"/>
    <x v="7"/>
    <x v="1"/>
  </r>
  <r>
    <x v="1221"/>
    <x v="3"/>
    <x v="15"/>
    <n v="84.5"/>
    <n v="1098.5"/>
    <x v="47"/>
    <d v="2025-02-20T00:00:00"/>
    <x v="2"/>
    <x v="1"/>
    <x v="4"/>
    <x v="0"/>
    <x v="3"/>
    <x v="2"/>
    <x v="7"/>
    <x v="2"/>
  </r>
  <r>
    <x v="1222"/>
    <x v="2"/>
    <x v="9"/>
    <n v="105.4"/>
    <n v="527"/>
    <x v="47"/>
    <d v="2025-02-19T00:00:00"/>
    <x v="2"/>
    <x v="1"/>
    <x v="1"/>
    <x v="0"/>
    <x v="3"/>
    <x v="1"/>
    <x v="7"/>
    <x v="2"/>
  </r>
  <r>
    <x v="1223"/>
    <x v="18"/>
    <x v="3"/>
    <n v="39.4"/>
    <n v="275.8"/>
    <x v="48"/>
    <d v="2025-02-18T00:00:00"/>
    <x v="1"/>
    <x v="1"/>
    <x v="0"/>
    <x v="0"/>
    <x v="37"/>
    <x v="7"/>
    <x v="7"/>
    <x v="1"/>
  </r>
  <r>
    <x v="1224"/>
    <x v="19"/>
    <x v="2"/>
    <n v="38"/>
    <n v="114"/>
    <x v="48"/>
    <d v="2025-02-21T00:00:00"/>
    <x v="1"/>
    <x v="4"/>
    <x v="1"/>
    <x v="0"/>
    <x v="6"/>
    <x v="2"/>
    <x v="7"/>
    <x v="1"/>
  </r>
  <r>
    <x v="1225"/>
    <x v="17"/>
    <x v="12"/>
    <n v="42.5"/>
    <n v="170"/>
    <x v="48"/>
    <d v="2025-02-20T00:00:00"/>
    <x v="0"/>
    <x v="0"/>
    <x v="0"/>
    <x v="0"/>
    <x v="6"/>
    <x v="1"/>
    <x v="7"/>
    <x v="0"/>
  </r>
  <r>
    <x v="1226"/>
    <x v="15"/>
    <x v="0"/>
    <n v="62.3"/>
    <n v="62.3"/>
    <x v="48"/>
    <d v="2025-02-27T00:00:00"/>
    <x v="1"/>
    <x v="0"/>
    <x v="2"/>
    <x v="0"/>
    <x v="6"/>
    <x v="8"/>
    <x v="7"/>
    <x v="1"/>
  </r>
  <r>
    <x v="1227"/>
    <x v="6"/>
    <x v="9"/>
    <n v="49.1"/>
    <n v="245.5"/>
    <x v="48"/>
    <d v="2025-02-20T00:00:00"/>
    <x v="2"/>
    <x v="1"/>
    <x v="2"/>
    <x v="0"/>
    <x v="7"/>
    <x v="1"/>
    <x v="7"/>
    <x v="2"/>
  </r>
  <r>
    <x v="1228"/>
    <x v="3"/>
    <x v="1"/>
    <n v="30.5"/>
    <n v="61"/>
    <x v="48"/>
    <d v="2025-02-21T00:00:00"/>
    <x v="1"/>
    <x v="0"/>
    <x v="2"/>
    <x v="0"/>
    <x v="8"/>
    <x v="2"/>
    <x v="7"/>
    <x v="1"/>
  </r>
  <r>
    <x v="1229"/>
    <x v="2"/>
    <x v="1"/>
    <n v="154.80000000000001"/>
    <n v="309.60000000000002"/>
    <x v="48"/>
    <d v="2025-02-21T00:00:00"/>
    <x v="2"/>
    <x v="1"/>
    <x v="4"/>
    <x v="0"/>
    <x v="8"/>
    <x v="2"/>
    <x v="7"/>
    <x v="2"/>
  </r>
  <r>
    <x v="1230"/>
    <x v="6"/>
    <x v="0"/>
    <n v="45"/>
    <n v="45"/>
    <x v="48"/>
    <d v="2025-02-22T00:00:00"/>
    <x v="1"/>
    <x v="3"/>
    <x v="1"/>
    <x v="0"/>
    <x v="8"/>
    <x v="5"/>
    <x v="7"/>
    <x v="1"/>
  </r>
  <r>
    <x v="1231"/>
    <x v="0"/>
    <x v="3"/>
    <n v="15.3"/>
    <n v="107.10000000000001"/>
    <x v="48"/>
    <d v="2025-02-19T00:00:00"/>
    <x v="1"/>
    <x v="0"/>
    <x v="2"/>
    <x v="0"/>
    <x v="8"/>
    <x v="3"/>
    <x v="7"/>
    <x v="1"/>
  </r>
  <r>
    <x v="1232"/>
    <x v="2"/>
    <x v="5"/>
    <n v="88.6"/>
    <n v="974.59999999999991"/>
    <x v="48"/>
    <d v="2025-02-21T00:00:00"/>
    <x v="2"/>
    <x v="0"/>
    <x v="4"/>
    <x v="0"/>
    <x v="17"/>
    <x v="2"/>
    <x v="7"/>
    <x v="2"/>
  </r>
  <r>
    <x v="1233"/>
    <x v="9"/>
    <x v="1"/>
    <n v="49.7"/>
    <n v="99.4"/>
    <x v="48"/>
    <d v="2025-02-20T00:00:00"/>
    <x v="3"/>
    <x v="4"/>
    <x v="0"/>
    <x v="0"/>
    <x v="10"/>
    <x v="1"/>
    <x v="7"/>
    <x v="3"/>
  </r>
  <r>
    <x v="1234"/>
    <x v="10"/>
    <x v="0"/>
    <n v="29"/>
    <n v="29"/>
    <x v="48"/>
    <d v="2025-02-19T00:00:00"/>
    <x v="1"/>
    <x v="0"/>
    <x v="0"/>
    <x v="0"/>
    <x v="11"/>
    <x v="3"/>
    <x v="7"/>
    <x v="1"/>
  </r>
  <r>
    <x v="1235"/>
    <x v="1"/>
    <x v="0"/>
    <n v="60.7"/>
    <n v="60.7"/>
    <x v="48"/>
    <d v="2025-02-19T00:00:00"/>
    <x v="3"/>
    <x v="0"/>
    <x v="1"/>
    <x v="0"/>
    <x v="11"/>
    <x v="3"/>
    <x v="7"/>
    <x v="3"/>
  </r>
  <r>
    <x v="1236"/>
    <x v="17"/>
    <x v="12"/>
    <n v="87.4"/>
    <n v="349.6"/>
    <x v="48"/>
    <d v="2025-02-20T00:00:00"/>
    <x v="0"/>
    <x v="0"/>
    <x v="0"/>
    <x v="0"/>
    <x v="11"/>
    <x v="1"/>
    <x v="7"/>
    <x v="0"/>
  </r>
  <r>
    <x v="1237"/>
    <x v="4"/>
    <x v="3"/>
    <n v="44.5"/>
    <n v="311.5"/>
    <x v="48"/>
    <d v="2025-02-22T00:00:00"/>
    <x v="2"/>
    <x v="2"/>
    <x v="2"/>
    <x v="0"/>
    <x v="19"/>
    <x v="5"/>
    <x v="7"/>
    <x v="2"/>
  </r>
  <r>
    <x v="1238"/>
    <x v="2"/>
    <x v="0"/>
    <n v="141"/>
    <n v="141"/>
    <x v="48"/>
    <d v="2025-02-19T00:00:00"/>
    <x v="1"/>
    <x v="4"/>
    <x v="2"/>
    <x v="0"/>
    <x v="19"/>
    <x v="3"/>
    <x v="7"/>
    <x v="1"/>
  </r>
  <r>
    <x v="1239"/>
    <x v="0"/>
    <x v="2"/>
    <n v="16.7"/>
    <n v="50.099999999999994"/>
    <x v="48"/>
    <d v="2025-02-26T00:00:00"/>
    <x v="2"/>
    <x v="0"/>
    <x v="0"/>
    <x v="0"/>
    <x v="20"/>
    <x v="9"/>
    <x v="7"/>
    <x v="2"/>
  </r>
  <r>
    <x v="1240"/>
    <x v="1"/>
    <x v="1"/>
    <n v="77.5"/>
    <n v="155"/>
    <x v="48"/>
    <d v="2025-02-19T00:00:00"/>
    <x v="0"/>
    <x v="2"/>
    <x v="2"/>
    <x v="0"/>
    <x v="13"/>
    <x v="3"/>
    <x v="7"/>
    <x v="0"/>
  </r>
  <r>
    <x v="1241"/>
    <x v="2"/>
    <x v="1"/>
    <n v="163"/>
    <n v="326"/>
    <x v="48"/>
    <d v="2025-02-24T00:00:00"/>
    <x v="2"/>
    <x v="4"/>
    <x v="0"/>
    <x v="0"/>
    <x v="21"/>
    <x v="4"/>
    <x v="7"/>
    <x v="2"/>
  </r>
  <r>
    <x v="1242"/>
    <x v="4"/>
    <x v="11"/>
    <n v="21.4"/>
    <n v="192.6"/>
    <x v="48"/>
    <d v="2025-02-21T00:00:00"/>
    <x v="2"/>
    <x v="0"/>
    <x v="0"/>
    <x v="0"/>
    <x v="51"/>
    <x v="2"/>
    <x v="7"/>
    <x v="2"/>
  </r>
  <r>
    <x v="1243"/>
    <x v="10"/>
    <x v="5"/>
    <n v="31"/>
    <n v="341"/>
    <x v="48"/>
    <d v="2025-02-20T00:00:00"/>
    <x v="2"/>
    <x v="3"/>
    <x v="2"/>
    <x v="0"/>
    <x v="1"/>
    <x v="1"/>
    <x v="7"/>
    <x v="2"/>
  </r>
  <r>
    <x v="1244"/>
    <x v="7"/>
    <x v="1"/>
    <n v="34.299999999999997"/>
    <n v="68.599999999999994"/>
    <x v="48"/>
    <d v="2025-02-20T00:00:00"/>
    <x v="2"/>
    <x v="0"/>
    <x v="3"/>
    <x v="0"/>
    <x v="1"/>
    <x v="1"/>
    <x v="7"/>
    <x v="2"/>
  </r>
  <r>
    <x v="1245"/>
    <x v="17"/>
    <x v="9"/>
    <n v="48.2"/>
    <n v="241"/>
    <x v="48"/>
    <d v="2025-02-19T00:00:00"/>
    <x v="1"/>
    <x v="1"/>
    <x v="1"/>
    <x v="0"/>
    <x v="2"/>
    <x v="3"/>
    <x v="7"/>
    <x v="1"/>
  </r>
  <r>
    <x v="1246"/>
    <x v="10"/>
    <x v="0"/>
    <n v="51.4"/>
    <n v="51.4"/>
    <x v="48"/>
    <d v="2025-02-19T00:00:00"/>
    <x v="1"/>
    <x v="0"/>
    <x v="0"/>
    <x v="0"/>
    <x v="3"/>
    <x v="3"/>
    <x v="7"/>
    <x v="1"/>
  </r>
  <r>
    <x v="1247"/>
    <x v="2"/>
    <x v="9"/>
    <n v="117.2"/>
    <n v="586"/>
    <x v="48"/>
    <d v="2025-02-21T00:00:00"/>
    <x v="2"/>
    <x v="4"/>
    <x v="4"/>
    <x v="0"/>
    <x v="3"/>
    <x v="2"/>
    <x v="7"/>
    <x v="2"/>
  </r>
  <r>
    <x v="1248"/>
    <x v="8"/>
    <x v="0"/>
    <n v="38.1"/>
    <n v="38.1"/>
    <x v="48"/>
    <d v="2025-02-18T00:00:00"/>
    <x v="1"/>
    <x v="4"/>
    <x v="1"/>
    <x v="0"/>
    <x v="3"/>
    <x v="7"/>
    <x v="7"/>
    <x v="1"/>
  </r>
  <r>
    <x v="1249"/>
    <x v="0"/>
    <x v="1"/>
    <n v="44.1"/>
    <n v="88.2"/>
    <x v="48"/>
    <d v="2025-02-20T00:00:00"/>
    <x v="2"/>
    <x v="2"/>
    <x v="0"/>
    <x v="0"/>
    <x v="3"/>
    <x v="1"/>
    <x v="7"/>
    <x v="2"/>
  </r>
  <r>
    <x v="1250"/>
    <x v="15"/>
    <x v="12"/>
    <n v="80.5"/>
    <n v="322"/>
    <x v="48"/>
    <d v="2025-02-23T00:00:00"/>
    <x v="1"/>
    <x v="0"/>
    <x v="0"/>
    <x v="0"/>
    <x v="3"/>
    <x v="0"/>
    <x v="7"/>
    <x v="1"/>
  </r>
  <r>
    <x v="1251"/>
    <x v="18"/>
    <x v="12"/>
    <n v="33.6"/>
    <n v="134.4"/>
    <x v="48"/>
    <d v="2025-02-23T00:00:00"/>
    <x v="0"/>
    <x v="0"/>
    <x v="2"/>
    <x v="0"/>
    <x v="3"/>
    <x v="0"/>
    <x v="7"/>
    <x v="0"/>
  </r>
  <r>
    <x v="1252"/>
    <x v="9"/>
    <x v="11"/>
    <n v="41.8"/>
    <n v="376.2"/>
    <x v="48"/>
    <d v="2025-02-19T00:00:00"/>
    <x v="2"/>
    <x v="0"/>
    <x v="1"/>
    <x v="0"/>
    <x v="3"/>
    <x v="3"/>
    <x v="7"/>
    <x v="2"/>
  </r>
  <r>
    <x v="1253"/>
    <x v="1"/>
    <x v="1"/>
    <n v="106.2"/>
    <n v="212.4"/>
    <x v="48"/>
    <d v="2025-02-18T00:00:00"/>
    <x v="2"/>
    <x v="4"/>
    <x v="2"/>
    <x v="0"/>
    <x v="3"/>
    <x v="7"/>
    <x v="7"/>
    <x v="2"/>
  </r>
  <r>
    <x v="1254"/>
    <x v="1"/>
    <x v="1"/>
    <n v="52.6"/>
    <n v="105.2"/>
    <x v="48"/>
    <d v="2025-02-19T00:00:00"/>
    <x v="2"/>
    <x v="0"/>
    <x v="2"/>
    <x v="0"/>
    <x v="5"/>
    <x v="3"/>
    <x v="7"/>
    <x v="2"/>
  </r>
  <r>
    <x v="1255"/>
    <x v="11"/>
    <x v="3"/>
    <n v="68.5"/>
    <n v="479.5"/>
    <x v="48"/>
    <d v="2025-02-19T00:00:00"/>
    <x v="2"/>
    <x v="1"/>
    <x v="0"/>
    <x v="0"/>
    <x v="5"/>
    <x v="3"/>
    <x v="7"/>
    <x v="2"/>
  </r>
  <r>
    <x v="1256"/>
    <x v="1"/>
    <x v="1"/>
    <n v="55.6"/>
    <n v="111.2"/>
    <x v="48"/>
    <d v="2025-02-20T00:00:00"/>
    <x v="1"/>
    <x v="1"/>
    <x v="2"/>
    <x v="0"/>
    <x v="6"/>
    <x v="1"/>
    <x v="7"/>
    <x v="1"/>
  </r>
  <r>
    <x v="1257"/>
    <x v="2"/>
    <x v="2"/>
    <n v="134.9"/>
    <n v="404.70000000000005"/>
    <x v="48"/>
    <d v="2025-02-19T00:00:00"/>
    <x v="1"/>
    <x v="1"/>
    <x v="1"/>
    <x v="0"/>
    <x v="6"/>
    <x v="3"/>
    <x v="7"/>
    <x v="1"/>
  </r>
  <r>
    <x v="1258"/>
    <x v="10"/>
    <x v="9"/>
    <n v="42.6"/>
    <n v="213"/>
    <x v="48"/>
    <d v="2025-02-19T00:00:00"/>
    <x v="1"/>
    <x v="0"/>
    <x v="0"/>
    <x v="0"/>
    <x v="6"/>
    <x v="3"/>
    <x v="7"/>
    <x v="1"/>
  </r>
  <r>
    <x v="1259"/>
    <x v="7"/>
    <x v="9"/>
    <n v="60.6"/>
    <n v="303"/>
    <x v="48"/>
    <d v="2025-02-20T00:00:00"/>
    <x v="1"/>
    <x v="4"/>
    <x v="0"/>
    <x v="0"/>
    <x v="6"/>
    <x v="1"/>
    <x v="7"/>
    <x v="1"/>
  </r>
  <r>
    <x v="1260"/>
    <x v="8"/>
    <x v="1"/>
    <n v="43.5"/>
    <n v="87"/>
    <x v="48"/>
    <d v="2025-02-19T00:00:00"/>
    <x v="1"/>
    <x v="4"/>
    <x v="0"/>
    <x v="0"/>
    <x v="7"/>
    <x v="3"/>
    <x v="7"/>
    <x v="1"/>
  </r>
  <r>
    <x v="1261"/>
    <x v="2"/>
    <x v="1"/>
    <n v="187.1"/>
    <n v="374.2"/>
    <x v="48"/>
    <d v="2025-02-19T00:00:00"/>
    <x v="1"/>
    <x v="1"/>
    <x v="2"/>
    <x v="0"/>
    <x v="8"/>
    <x v="3"/>
    <x v="7"/>
    <x v="1"/>
  </r>
  <r>
    <x v="1262"/>
    <x v="9"/>
    <x v="2"/>
    <n v="32"/>
    <n v="96"/>
    <x v="48"/>
    <d v="2025-02-20T00:00:00"/>
    <x v="1"/>
    <x v="0"/>
    <x v="0"/>
    <x v="0"/>
    <x v="8"/>
    <x v="1"/>
    <x v="7"/>
    <x v="1"/>
  </r>
  <r>
    <x v="1263"/>
    <x v="9"/>
    <x v="1"/>
    <n v="110.8"/>
    <n v="221.6"/>
    <x v="48"/>
    <d v="2025-02-18T00:00:00"/>
    <x v="1"/>
    <x v="0"/>
    <x v="2"/>
    <x v="0"/>
    <x v="8"/>
    <x v="7"/>
    <x v="7"/>
    <x v="1"/>
  </r>
  <r>
    <x v="1264"/>
    <x v="10"/>
    <x v="15"/>
    <n v="36.1"/>
    <n v="469.3"/>
    <x v="48"/>
    <d v="2025-02-21T00:00:00"/>
    <x v="2"/>
    <x v="0"/>
    <x v="1"/>
    <x v="0"/>
    <x v="8"/>
    <x v="2"/>
    <x v="7"/>
    <x v="2"/>
  </r>
  <r>
    <x v="1265"/>
    <x v="0"/>
    <x v="0"/>
    <n v="24.1"/>
    <n v="24.1"/>
    <x v="48"/>
    <d v="2025-02-20T00:00:00"/>
    <x v="2"/>
    <x v="4"/>
    <x v="2"/>
    <x v="0"/>
    <x v="8"/>
    <x v="1"/>
    <x v="7"/>
    <x v="2"/>
  </r>
  <r>
    <x v="1266"/>
    <x v="19"/>
    <x v="2"/>
    <n v="30.5"/>
    <n v="91.5"/>
    <x v="48"/>
    <d v="2025-02-20T00:00:00"/>
    <x v="1"/>
    <x v="1"/>
    <x v="0"/>
    <x v="0"/>
    <x v="8"/>
    <x v="1"/>
    <x v="7"/>
    <x v="1"/>
  </r>
  <r>
    <x v="1267"/>
    <x v="18"/>
    <x v="13"/>
    <n v="68.3"/>
    <n v="409.79999999999995"/>
    <x v="48"/>
    <d v="2025-02-21T00:00:00"/>
    <x v="1"/>
    <x v="0"/>
    <x v="0"/>
    <x v="0"/>
    <x v="8"/>
    <x v="2"/>
    <x v="7"/>
    <x v="1"/>
  </r>
  <r>
    <x v="1268"/>
    <x v="7"/>
    <x v="2"/>
    <n v="43.3"/>
    <n v="129.89999999999998"/>
    <x v="48"/>
    <d v="2025-02-22T00:00:00"/>
    <x v="2"/>
    <x v="0"/>
    <x v="0"/>
    <x v="0"/>
    <x v="17"/>
    <x v="5"/>
    <x v="7"/>
    <x v="2"/>
  </r>
  <r>
    <x v="1269"/>
    <x v="3"/>
    <x v="0"/>
    <n v="101.7"/>
    <n v="101.7"/>
    <x v="48"/>
    <d v="2025-02-21T00:00:00"/>
    <x v="2"/>
    <x v="0"/>
    <x v="1"/>
    <x v="0"/>
    <x v="17"/>
    <x v="2"/>
    <x v="7"/>
    <x v="2"/>
  </r>
  <r>
    <x v="1270"/>
    <x v="11"/>
    <x v="1"/>
    <n v="54.2"/>
    <n v="108.4"/>
    <x v="48"/>
    <d v="2025-02-19T00:00:00"/>
    <x v="2"/>
    <x v="0"/>
    <x v="1"/>
    <x v="0"/>
    <x v="17"/>
    <x v="3"/>
    <x v="7"/>
    <x v="2"/>
  </r>
  <r>
    <x v="1271"/>
    <x v="16"/>
    <x v="1"/>
    <n v="51"/>
    <n v="102"/>
    <x v="48"/>
    <d v="2025-02-18T00:00:00"/>
    <x v="1"/>
    <x v="1"/>
    <x v="0"/>
    <x v="0"/>
    <x v="26"/>
    <x v="7"/>
    <x v="7"/>
    <x v="1"/>
  </r>
  <r>
    <x v="1272"/>
    <x v="4"/>
    <x v="1"/>
    <n v="23.1"/>
    <n v="46.2"/>
    <x v="48"/>
    <d v="2025-02-21T00:00:00"/>
    <x v="1"/>
    <x v="1"/>
    <x v="0"/>
    <x v="0"/>
    <x v="10"/>
    <x v="2"/>
    <x v="7"/>
    <x v="1"/>
  </r>
  <r>
    <x v="1273"/>
    <x v="12"/>
    <x v="13"/>
    <n v="60.1"/>
    <n v="360.6"/>
    <x v="48"/>
    <d v="2025-02-18T00:00:00"/>
    <x v="2"/>
    <x v="3"/>
    <x v="0"/>
    <x v="0"/>
    <x v="11"/>
    <x v="7"/>
    <x v="7"/>
    <x v="2"/>
  </r>
  <r>
    <x v="1274"/>
    <x v="2"/>
    <x v="3"/>
    <n v="87.5"/>
    <n v="612.5"/>
    <x v="48"/>
    <d v="2025-02-20T00:00:00"/>
    <x v="2"/>
    <x v="0"/>
    <x v="1"/>
    <x v="0"/>
    <x v="11"/>
    <x v="1"/>
    <x v="7"/>
    <x v="2"/>
  </r>
  <r>
    <x v="1275"/>
    <x v="1"/>
    <x v="2"/>
    <n v="51"/>
    <n v="153"/>
    <x v="48"/>
    <d v="2025-02-19T00:00:00"/>
    <x v="2"/>
    <x v="1"/>
    <x v="0"/>
    <x v="0"/>
    <x v="11"/>
    <x v="3"/>
    <x v="7"/>
    <x v="2"/>
  </r>
  <r>
    <x v="1276"/>
    <x v="8"/>
    <x v="12"/>
    <n v="19.2"/>
    <n v="76.8"/>
    <x v="48"/>
    <d v="2025-02-20T00:00:00"/>
    <x v="2"/>
    <x v="0"/>
    <x v="0"/>
    <x v="0"/>
    <x v="11"/>
    <x v="1"/>
    <x v="7"/>
    <x v="2"/>
  </r>
  <r>
    <x v="1277"/>
    <x v="5"/>
    <x v="8"/>
    <n v="26.5"/>
    <n v="212"/>
    <x v="48"/>
    <d v="2025-02-19T00:00:00"/>
    <x v="0"/>
    <x v="3"/>
    <x v="2"/>
    <x v="0"/>
    <x v="11"/>
    <x v="3"/>
    <x v="7"/>
    <x v="0"/>
  </r>
  <r>
    <x v="1278"/>
    <x v="2"/>
    <x v="1"/>
    <n v="220.3"/>
    <n v="440.6"/>
    <x v="48"/>
    <d v="2025-02-19T00:00:00"/>
    <x v="2"/>
    <x v="1"/>
    <x v="4"/>
    <x v="0"/>
    <x v="53"/>
    <x v="3"/>
    <x v="7"/>
    <x v="2"/>
  </r>
  <r>
    <x v="1279"/>
    <x v="8"/>
    <x v="2"/>
    <n v="45.7"/>
    <n v="137.10000000000002"/>
    <x v="48"/>
    <d v="2025-02-19T00:00:00"/>
    <x v="2"/>
    <x v="4"/>
    <x v="0"/>
    <x v="0"/>
    <x v="30"/>
    <x v="3"/>
    <x v="7"/>
    <x v="2"/>
  </r>
  <r>
    <x v="1280"/>
    <x v="5"/>
    <x v="9"/>
    <n v="47.1"/>
    <n v="235.5"/>
    <x v="48"/>
    <d v="2025-02-22T00:00:00"/>
    <x v="2"/>
    <x v="3"/>
    <x v="0"/>
    <x v="0"/>
    <x v="13"/>
    <x v="5"/>
    <x v="7"/>
    <x v="2"/>
  </r>
  <r>
    <x v="1281"/>
    <x v="1"/>
    <x v="9"/>
    <n v="81.7"/>
    <n v="408.5"/>
    <x v="48"/>
    <d v="2025-02-19T00:00:00"/>
    <x v="2"/>
    <x v="0"/>
    <x v="2"/>
    <x v="0"/>
    <x v="21"/>
    <x v="3"/>
    <x v="7"/>
    <x v="2"/>
  </r>
  <r>
    <x v="1282"/>
    <x v="6"/>
    <x v="7"/>
    <n v="97.8"/>
    <n v="978"/>
    <x v="48"/>
    <d v="2025-02-18T00:00:00"/>
    <x v="1"/>
    <x v="1"/>
    <x v="1"/>
    <x v="0"/>
    <x v="21"/>
    <x v="7"/>
    <x v="7"/>
    <x v="1"/>
  </r>
  <r>
    <x v="1283"/>
    <x v="6"/>
    <x v="2"/>
    <n v="42.4"/>
    <n v="127.19999999999999"/>
    <x v="48"/>
    <d v="2025-02-19T00:00:00"/>
    <x v="2"/>
    <x v="0"/>
    <x v="2"/>
    <x v="0"/>
    <x v="54"/>
    <x v="3"/>
    <x v="7"/>
    <x v="2"/>
  </r>
  <r>
    <x v="1284"/>
    <x v="2"/>
    <x v="7"/>
    <n v="74.5"/>
    <n v="745"/>
    <x v="48"/>
    <d v="2025-02-19T00:00:00"/>
    <x v="1"/>
    <x v="2"/>
    <x v="1"/>
    <x v="0"/>
    <x v="1"/>
    <x v="3"/>
    <x v="7"/>
    <x v="1"/>
  </r>
  <r>
    <x v="1285"/>
    <x v="17"/>
    <x v="13"/>
    <n v="47.4"/>
    <n v="284.39999999999998"/>
    <x v="48"/>
    <d v="2025-02-19T00:00:00"/>
    <x v="1"/>
    <x v="1"/>
    <x v="0"/>
    <x v="0"/>
    <x v="1"/>
    <x v="3"/>
    <x v="7"/>
    <x v="1"/>
  </r>
  <r>
    <x v="1286"/>
    <x v="14"/>
    <x v="2"/>
    <n v="17.3"/>
    <n v="51.900000000000006"/>
    <x v="49"/>
    <d v="2025-02-22T00:00:00"/>
    <x v="1"/>
    <x v="2"/>
    <x v="2"/>
    <x v="0"/>
    <x v="1"/>
    <x v="2"/>
    <x v="7"/>
    <x v="1"/>
  </r>
  <r>
    <x v="1287"/>
    <x v="12"/>
    <x v="12"/>
    <n v="77.900000000000006"/>
    <n v="311.60000000000002"/>
    <x v="49"/>
    <d v="2025-02-20T00:00:00"/>
    <x v="1"/>
    <x v="1"/>
    <x v="0"/>
    <x v="0"/>
    <x v="2"/>
    <x v="3"/>
    <x v="7"/>
    <x v="1"/>
  </r>
  <r>
    <x v="1288"/>
    <x v="8"/>
    <x v="0"/>
    <n v="29.1"/>
    <n v="29.1"/>
    <x v="49"/>
    <d v="2025-02-22T00:00:00"/>
    <x v="1"/>
    <x v="0"/>
    <x v="2"/>
    <x v="0"/>
    <x v="50"/>
    <x v="2"/>
    <x v="7"/>
    <x v="1"/>
  </r>
  <r>
    <x v="1289"/>
    <x v="8"/>
    <x v="0"/>
    <n v="49"/>
    <n v="49"/>
    <x v="49"/>
    <d v="2025-02-20T00:00:00"/>
    <x v="1"/>
    <x v="1"/>
    <x v="0"/>
    <x v="0"/>
    <x v="3"/>
    <x v="3"/>
    <x v="7"/>
    <x v="1"/>
  </r>
  <r>
    <x v="1290"/>
    <x v="8"/>
    <x v="13"/>
    <n v="21.1"/>
    <n v="126.60000000000001"/>
    <x v="49"/>
    <d v="2025-02-26T00:00:00"/>
    <x v="1"/>
    <x v="0"/>
    <x v="2"/>
    <x v="0"/>
    <x v="3"/>
    <x v="6"/>
    <x v="7"/>
    <x v="1"/>
  </r>
  <r>
    <x v="1291"/>
    <x v="4"/>
    <x v="10"/>
    <n v="36.9"/>
    <n v="701.1"/>
    <x v="49"/>
    <d v="2025-02-19T00:00:00"/>
    <x v="2"/>
    <x v="0"/>
    <x v="0"/>
    <x v="0"/>
    <x v="3"/>
    <x v="7"/>
    <x v="7"/>
    <x v="2"/>
  </r>
  <r>
    <x v="1292"/>
    <x v="1"/>
    <x v="7"/>
    <n v="92.6"/>
    <n v="926"/>
    <x v="49"/>
    <d v="2025-02-24T00:00:00"/>
    <x v="1"/>
    <x v="4"/>
    <x v="2"/>
    <x v="0"/>
    <x v="3"/>
    <x v="0"/>
    <x v="7"/>
    <x v="1"/>
  </r>
  <r>
    <x v="1293"/>
    <x v="10"/>
    <x v="1"/>
    <n v="38"/>
    <n v="76"/>
    <x v="49"/>
    <d v="2025-02-20T00:00:00"/>
    <x v="1"/>
    <x v="1"/>
    <x v="1"/>
    <x v="0"/>
    <x v="3"/>
    <x v="3"/>
    <x v="7"/>
    <x v="1"/>
  </r>
  <r>
    <x v="1294"/>
    <x v="5"/>
    <x v="2"/>
    <n v="54.8"/>
    <n v="164.39999999999998"/>
    <x v="49"/>
    <d v="2025-02-23T00:00:00"/>
    <x v="0"/>
    <x v="0"/>
    <x v="1"/>
    <x v="0"/>
    <x v="3"/>
    <x v="5"/>
    <x v="7"/>
    <x v="0"/>
  </r>
  <r>
    <x v="1295"/>
    <x v="10"/>
    <x v="4"/>
    <n v="56.8"/>
    <n v="681.59999999999991"/>
    <x v="49"/>
    <d v="2025-02-21T00:00:00"/>
    <x v="1"/>
    <x v="1"/>
    <x v="0"/>
    <x v="0"/>
    <x v="3"/>
    <x v="1"/>
    <x v="7"/>
    <x v="1"/>
  </r>
  <r>
    <x v="1296"/>
    <x v="11"/>
    <x v="40"/>
    <n v="47.2"/>
    <n v="1557.6000000000001"/>
    <x v="49"/>
    <d v="2025-02-22T00:00:00"/>
    <x v="2"/>
    <x v="1"/>
    <x v="0"/>
    <x v="0"/>
    <x v="3"/>
    <x v="2"/>
    <x v="7"/>
    <x v="2"/>
  </r>
  <r>
    <x v="1297"/>
    <x v="7"/>
    <x v="13"/>
    <n v="45.1"/>
    <n v="270.60000000000002"/>
    <x v="49"/>
    <d v="2025-02-20T00:00:00"/>
    <x v="2"/>
    <x v="2"/>
    <x v="0"/>
    <x v="0"/>
    <x v="43"/>
    <x v="3"/>
    <x v="7"/>
    <x v="2"/>
  </r>
  <r>
    <x v="1298"/>
    <x v="4"/>
    <x v="4"/>
    <n v="25.2"/>
    <n v="302.39999999999998"/>
    <x v="49"/>
    <d v="2025-02-24T00:00:00"/>
    <x v="2"/>
    <x v="2"/>
    <x v="0"/>
    <x v="0"/>
    <x v="16"/>
    <x v="0"/>
    <x v="7"/>
    <x v="2"/>
  </r>
  <r>
    <x v="1299"/>
    <x v="8"/>
    <x v="0"/>
    <n v="22"/>
    <n v="22"/>
    <x v="49"/>
    <d v="2025-02-20T00:00:00"/>
    <x v="2"/>
    <x v="0"/>
    <x v="0"/>
    <x v="0"/>
    <x v="5"/>
    <x v="3"/>
    <x v="7"/>
    <x v="2"/>
  </r>
  <r>
    <x v="1300"/>
    <x v="6"/>
    <x v="1"/>
    <n v="42.2"/>
    <n v="84.4"/>
    <x v="49"/>
    <d v="2025-02-20T00:00:00"/>
    <x v="2"/>
    <x v="1"/>
    <x v="1"/>
    <x v="0"/>
    <x v="23"/>
    <x v="3"/>
    <x v="7"/>
    <x v="2"/>
  </r>
  <r>
    <x v="1301"/>
    <x v="13"/>
    <x v="2"/>
    <n v="20.5"/>
    <n v="61.5"/>
    <x v="49"/>
    <d v="2025-02-20T00:00:00"/>
    <x v="1"/>
    <x v="0"/>
    <x v="1"/>
    <x v="0"/>
    <x v="6"/>
    <x v="3"/>
    <x v="7"/>
    <x v="1"/>
  </r>
  <r>
    <x v="1302"/>
    <x v="2"/>
    <x v="0"/>
    <n v="190.4"/>
    <n v="190.4"/>
    <x v="49"/>
    <d v="2025-02-24T00:00:00"/>
    <x v="1"/>
    <x v="1"/>
    <x v="4"/>
    <x v="0"/>
    <x v="6"/>
    <x v="0"/>
    <x v="7"/>
    <x v="1"/>
  </r>
  <r>
    <x v="1303"/>
    <x v="2"/>
    <x v="0"/>
    <n v="121.9"/>
    <n v="121.9"/>
    <x v="49"/>
    <d v="2025-02-21T00:00:00"/>
    <x v="2"/>
    <x v="1"/>
    <x v="2"/>
    <x v="0"/>
    <x v="6"/>
    <x v="1"/>
    <x v="7"/>
    <x v="2"/>
  </r>
  <r>
    <x v="1304"/>
    <x v="2"/>
    <x v="13"/>
    <n v="149.19999999999999"/>
    <n v="895.19999999999993"/>
    <x v="49"/>
    <d v="2025-02-20T00:00:00"/>
    <x v="2"/>
    <x v="2"/>
    <x v="2"/>
    <x v="0"/>
    <x v="7"/>
    <x v="3"/>
    <x v="7"/>
    <x v="2"/>
  </r>
  <r>
    <x v="1305"/>
    <x v="2"/>
    <x v="0"/>
    <n v="54.1"/>
    <n v="54.1"/>
    <x v="49"/>
    <d v="2025-02-28T00:00:00"/>
    <x v="2"/>
    <x v="2"/>
    <x v="2"/>
    <x v="0"/>
    <x v="7"/>
    <x v="8"/>
    <x v="7"/>
    <x v="2"/>
  </r>
  <r>
    <x v="1306"/>
    <x v="5"/>
    <x v="1"/>
    <n v="27.4"/>
    <n v="54.8"/>
    <x v="49"/>
    <d v="2025-02-21T00:00:00"/>
    <x v="1"/>
    <x v="1"/>
    <x v="0"/>
    <x v="0"/>
    <x v="8"/>
    <x v="1"/>
    <x v="7"/>
    <x v="1"/>
  </r>
  <r>
    <x v="1307"/>
    <x v="0"/>
    <x v="15"/>
    <n v="30.4"/>
    <n v="395.2"/>
    <x v="49"/>
    <d v="2025-02-20T00:00:00"/>
    <x v="2"/>
    <x v="0"/>
    <x v="2"/>
    <x v="0"/>
    <x v="8"/>
    <x v="3"/>
    <x v="7"/>
    <x v="2"/>
  </r>
  <r>
    <x v="1308"/>
    <x v="12"/>
    <x v="2"/>
    <n v="46.2"/>
    <n v="138.60000000000002"/>
    <x v="49"/>
    <d v="2025-02-21T00:00:00"/>
    <x v="1"/>
    <x v="2"/>
    <x v="1"/>
    <x v="0"/>
    <x v="17"/>
    <x v="1"/>
    <x v="7"/>
    <x v="1"/>
  </r>
  <r>
    <x v="1309"/>
    <x v="7"/>
    <x v="8"/>
    <n v="78.599999999999994"/>
    <n v="628.79999999999995"/>
    <x v="49"/>
    <d v="2025-02-23T00:00:00"/>
    <x v="1"/>
    <x v="3"/>
    <x v="0"/>
    <x v="0"/>
    <x v="17"/>
    <x v="5"/>
    <x v="7"/>
    <x v="1"/>
  </r>
  <r>
    <x v="1310"/>
    <x v="17"/>
    <x v="7"/>
    <n v="25.9"/>
    <n v="259"/>
    <x v="49"/>
    <d v="2025-02-25T00:00:00"/>
    <x v="1"/>
    <x v="4"/>
    <x v="0"/>
    <x v="0"/>
    <x v="9"/>
    <x v="4"/>
    <x v="7"/>
    <x v="1"/>
  </r>
  <r>
    <x v="1311"/>
    <x v="6"/>
    <x v="0"/>
    <n v="134.80000000000001"/>
    <n v="134.80000000000001"/>
    <x v="49"/>
    <d v="2025-02-21T00:00:00"/>
    <x v="1"/>
    <x v="2"/>
    <x v="2"/>
    <x v="0"/>
    <x v="9"/>
    <x v="1"/>
    <x v="7"/>
    <x v="1"/>
  </r>
  <r>
    <x v="1312"/>
    <x v="15"/>
    <x v="9"/>
    <n v="43.1"/>
    <n v="215.5"/>
    <x v="49"/>
    <d v="2025-02-21T00:00:00"/>
    <x v="2"/>
    <x v="0"/>
    <x v="0"/>
    <x v="0"/>
    <x v="11"/>
    <x v="1"/>
    <x v="7"/>
    <x v="2"/>
  </r>
  <r>
    <x v="1313"/>
    <x v="2"/>
    <x v="1"/>
    <n v="215.6"/>
    <n v="431.2"/>
    <x v="49"/>
    <d v="2025-02-20T00:00:00"/>
    <x v="2"/>
    <x v="2"/>
    <x v="0"/>
    <x v="0"/>
    <x v="18"/>
    <x v="3"/>
    <x v="7"/>
    <x v="2"/>
  </r>
  <r>
    <x v="1314"/>
    <x v="6"/>
    <x v="1"/>
    <n v="80.7"/>
    <n v="161.4"/>
    <x v="49"/>
    <d v="2025-02-22T00:00:00"/>
    <x v="2"/>
    <x v="3"/>
    <x v="0"/>
    <x v="0"/>
    <x v="18"/>
    <x v="2"/>
    <x v="7"/>
    <x v="2"/>
  </r>
  <r>
    <x v="1315"/>
    <x v="10"/>
    <x v="3"/>
    <n v="20.6"/>
    <n v="144.20000000000002"/>
    <x v="49"/>
    <d v="2025-02-24T00:00:00"/>
    <x v="0"/>
    <x v="2"/>
    <x v="1"/>
    <x v="0"/>
    <x v="19"/>
    <x v="0"/>
    <x v="7"/>
    <x v="0"/>
  </r>
  <r>
    <x v="1316"/>
    <x v="12"/>
    <x v="2"/>
    <n v="37.1"/>
    <n v="111.30000000000001"/>
    <x v="49"/>
    <d v="2025-02-20T00:00:00"/>
    <x v="2"/>
    <x v="0"/>
    <x v="0"/>
    <x v="0"/>
    <x v="52"/>
    <x v="3"/>
    <x v="7"/>
    <x v="2"/>
  </r>
  <r>
    <x v="1317"/>
    <x v="12"/>
    <x v="0"/>
    <n v="104.8"/>
    <n v="104.8"/>
    <x v="50"/>
    <d v="2025-02-22T00:00:00"/>
    <x v="2"/>
    <x v="0"/>
    <x v="0"/>
    <x v="0"/>
    <x v="13"/>
    <x v="1"/>
    <x v="7"/>
    <x v="2"/>
  </r>
  <r>
    <x v="1318"/>
    <x v="8"/>
    <x v="1"/>
    <n v="59"/>
    <n v="118"/>
    <x v="50"/>
    <d v="2025-02-21T00:00:00"/>
    <x v="1"/>
    <x v="1"/>
    <x v="0"/>
    <x v="0"/>
    <x v="21"/>
    <x v="3"/>
    <x v="7"/>
    <x v="1"/>
  </r>
  <r>
    <x v="1319"/>
    <x v="8"/>
    <x v="1"/>
    <n v="32.299999999999997"/>
    <n v="64.599999999999994"/>
    <x v="50"/>
    <d v="2025-02-21T00:00:00"/>
    <x v="1"/>
    <x v="0"/>
    <x v="2"/>
    <x v="0"/>
    <x v="21"/>
    <x v="3"/>
    <x v="7"/>
    <x v="1"/>
  </r>
  <r>
    <x v="1320"/>
    <x v="8"/>
    <x v="12"/>
    <n v="28.9"/>
    <n v="115.6"/>
    <x v="50"/>
    <d v="2025-02-27T00:00:00"/>
    <x v="1"/>
    <x v="0"/>
    <x v="0"/>
    <x v="0"/>
    <x v="1"/>
    <x v="6"/>
    <x v="7"/>
    <x v="1"/>
  </r>
  <r>
    <x v="1321"/>
    <x v="0"/>
    <x v="1"/>
    <n v="29.6"/>
    <n v="59.2"/>
    <x v="50"/>
    <d v="2025-02-22T00:00:00"/>
    <x v="1"/>
    <x v="0"/>
    <x v="0"/>
    <x v="0"/>
    <x v="1"/>
    <x v="1"/>
    <x v="7"/>
    <x v="1"/>
  </r>
  <r>
    <x v="1322"/>
    <x v="0"/>
    <x v="9"/>
    <n v="29.4"/>
    <n v="147"/>
    <x v="50"/>
    <d v="2025-02-23T00:00:00"/>
    <x v="2"/>
    <x v="0"/>
    <x v="0"/>
    <x v="0"/>
    <x v="1"/>
    <x v="2"/>
    <x v="7"/>
    <x v="2"/>
  </r>
  <r>
    <x v="1323"/>
    <x v="1"/>
    <x v="1"/>
    <n v="40.6"/>
    <n v="81.2"/>
    <x v="50"/>
    <d v="2025-02-21T00:00:00"/>
    <x v="1"/>
    <x v="0"/>
    <x v="4"/>
    <x v="0"/>
    <x v="2"/>
    <x v="3"/>
    <x v="7"/>
    <x v="1"/>
  </r>
  <r>
    <x v="1324"/>
    <x v="0"/>
    <x v="2"/>
    <n v="32.5"/>
    <n v="97.5"/>
    <x v="50"/>
    <d v="2025-02-21T00:00:00"/>
    <x v="1"/>
    <x v="3"/>
    <x v="2"/>
    <x v="0"/>
    <x v="22"/>
    <x v="3"/>
    <x v="7"/>
    <x v="1"/>
  </r>
  <r>
    <x v="1325"/>
    <x v="15"/>
    <x v="0"/>
    <n v="26.2"/>
    <n v="26.2"/>
    <x v="50"/>
    <d v="2025-02-22T00:00:00"/>
    <x v="1"/>
    <x v="2"/>
    <x v="0"/>
    <x v="0"/>
    <x v="55"/>
    <x v="1"/>
    <x v="7"/>
    <x v="1"/>
  </r>
  <r>
    <x v="1326"/>
    <x v="10"/>
    <x v="17"/>
    <n v="44"/>
    <n v="1320"/>
    <x v="50"/>
    <d v="2025-02-26T00:00:00"/>
    <x v="1"/>
    <x v="4"/>
    <x v="0"/>
    <x v="0"/>
    <x v="3"/>
    <x v="4"/>
    <x v="7"/>
    <x v="1"/>
  </r>
  <r>
    <x v="1327"/>
    <x v="7"/>
    <x v="12"/>
    <n v="65.599999999999994"/>
    <n v="262.39999999999998"/>
    <x v="50"/>
    <d v="2025-02-21T00:00:00"/>
    <x v="2"/>
    <x v="1"/>
    <x v="1"/>
    <x v="0"/>
    <x v="3"/>
    <x v="3"/>
    <x v="7"/>
    <x v="2"/>
  </r>
  <r>
    <x v="1328"/>
    <x v="5"/>
    <x v="4"/>
    <n v="32.6"/>
    <n v="391.20000000000005"/>
    <x v="50"/>
    <d v="2025-02-21T00:00:00"/>
    <x v="1"/>
    <x v="4"/>
    <x v="0"/>
    <x v="0"/>
    <x v="3"/>
    <x v="3"/>
    <x v="7"/>
    <x v="1"/>
  </r>
  <r>
    <x v="1329"/>
    <x v="16"/>
    <x v="1"/>
    <n v="88.7"/>
    <n v="177.4"/>
    <x v="50"/>
    <d v="2025-02-21T00:00:00"/>
    <x v="0"/>
    <x v="3"/>
    <x v="2"/>
    <x v="0"/>
    <x v="3"/>
    <x v="3"/>
    <x v="7"/>
    <x v="0"/>
  </r>
  <r>
    <x v="1330"/>
    <x v="4"/>
    <x v="1"/>
    <n v="21.3"/>
    <n v="42.6"/>
    <x v="50"/>
    <d v="2025-02-21T00:00:00"/>
    <x v="1"/>
    <x v="0"/>
    <x v="0"/>
    <x v="0"/>
    <x v="3"/>
    <x v="3"/>
    <x v="7"/>
    <x v="1"/>
  </r>
  <r>
    <x v="1331"/>
    <x v="4"/>
    <x v="13"/>
    <n v="50.6"/>
    <n v="303.60000000000002"/>
    <x v="50"/>
    <d v="2025-02-24T00:00:00"/>
    <x v="2"/>
    <x v="2"/>
    <x v="0"/>
    <x v="0"/>
    <x v="3"/>
    <x v="5"/>
    <x v="7"/>
    <x v="2"/>
  </r>
  <r>
    <x v="1332"/>
    <x v="9"/>
    <x v="38"/>
    <n v="86.9"/>
    <n v="1824.9"/>
    <x v="50"/>
    <d v="2025-02-23T00:00:00"/>
    <x v="2"/>
    <x v="0"/>
    <x v="1"/>
    <x v="0"/>
    <x v="3"/>
    <x v="2"/>
    <x v="7"/>
    <x v="2"/>
  </r>
  <r>
    <x v="1333"/>
    <x v="11"/>
    <x v="2"/>
    <n v="31.8"/>
    <n v="95.4"/>
    <x v="50"/>
    <d v="2025-02-22T00:00:00"/>
    <x v="1"/>
    <x v="0"/>
    <x v="2"/>
    <x v="0"/>
    <x v="3"/>
    <x v="1"/>
    <x v="7"/>
    <x v="1"/>
  </r>
  <r>
    <x v="1334"/>
    <x v="8"/>
    <x v="0"/>
    <n v="19"/>
    <n v="19"/>
    <x v="50"/>
    <d v="2025-02-21T00:00:00"/>
    <x v="2"/>
    <x v="0"/>
    <x v="2"/>
    <x v="0"/>
    <x v="3"/>
    <x v="3"/>
    <x v="7"/>
    <x v="2"/>
  </r>
  <r>
    <x v="1335"/>
    <x v="5"/>
    <x v="0"/>
    <n v="54.5"/>
    <n v="54.5"/>
    <x v="50"/>
    <d v="2025-02-22T00:00:00"/>
    <x v="1"/>
    <x v="0"/>
    <x v="0"/>
    <x v="0"/>
    <x v="3"/>
    <x v="1"/>
    <x v="7"/>
    <x v="1"/>
  </r>
  <r>
    <x v="1336"/>
    <x v="9"/>
    <x v="9"/>
    <n v="68.900000000000006"/>
    <n v="344.5"/>
    <x v="50"/>
    <d v="2025-02-22T00:00:00"/>
    <x v="1"/>
    <x v="4"/>
    <x v="1"/>
    <x v="0"/>
    <x v="3"/>
    <x v="1"/>
    <x v="7"/>
    <x v="1"/>
  </r>
  <r>
    <x v="1337"/>
    <x v="6"/>
    <x v="2"/>
    <n v="84"/>
    <n v="252"/>
    <x v="50"/>
    <d v="2025-02-21T00:00:00"/>
    <x v="1"/>
    <x v="1"/>
    <x v="4"/>
    <x v="0"/>
    <x v="16"/>
    <x v="3"/>
    <x v="7"/>
    <x v="1"/>
  </r>
  <r>
    <x v="1338"/>
    <x v="15"/>
    <x v="8"/>
    <n v="23.1"/>
    <n v="184.8"/>
    <x v="50"/>
    <d v="2025-02-25T00:00:00"/>
    <x v="1"/>
    <x v="0"/>
    <x v="2"/>
    <x v="0"/>
    <x v="23"/>
    <x v="0"/>
    <x v="7"/>
    <x v="1"/>
  </r>
  <r>
    <x v="1339"/>
    <x v="7"/>
    <x v="1"/>
    <n v="62.4"/>
    <n v="124.8"/>
    <x v="50"/>
    <d v="2025-02-21T00:00:00"/>
    <x v="2"/>
    <x v="0"/>
    <x v="1"/>
    <x v="0"/>
    <x v="6"/>
    <x v="3"/>
    <x v="7"/>
    <x v="2"/>
  </r>
  <r>
    <x v="1340"/>
    <x v="6"/>
    <x v="4"/>
    <n v="40.700000000000003"/>
    <n v="488.40000000000003"/>
    <x v="50"/>
    <d v="2025-02-22T00:00:00"/>
    <x v="1"/>
    <x v="1"/>
    <x v="2"/>
    <x v="0"/>
    <x v="6"/>
    <x v="1"/>
    <x v="7"/>
    <x v="1"/>
  </r>
  <r>
    <x v="1341"/>
    <x v="6"/>
    <x v="0"/>
    <n v="49.6"/>
    <n v="49.6"/>
    <x v="50"/>
    <d v="2025-02-23T00:00:00"/>
    <x v="1"/>
    <x v="2"/>
    <x v="0"/>
    <x v="0"/>
    <x v="7"/>
    <x v="2"/>
    <x v="7"/>
    <x v="1"/>
  </r>
  <r>
    <x v="1342"/>
    <x v="7"/>
    <x v="41"/>
    <n v="66.599999999999994"/>
    <n v="2996.9999999999995"/>
    <x v="50"/>
    <d v="2025-02-23T00:00:00"/>
    <x v="1"/>
    <x v="2"/>
    <x v="0"/>
    <x v="0"/>
    <x v="8"/>
    <x v="2"/>
    <x v="7"/>
    <x v="1"/>
  </r>
  <r>
    <x v="1343"/>
    <x v="8"/>
    <x v="2"/>
    <n v="26.4"/>
    <n v="79.199999999999989"/>
    <x v="50"/>
    <d v="2025-02-21T00:00:00"/>
    <x v="2"/>
    <x v="1"/>
    <x v="1"/>
    <x v="0"/>
    <x v="8"/>
    <x v="3"/>
    <x v="7"/>
    <x v="2"/>
  </r>
  <r>
    <x v="1344"/>
    <x v="0"/>
    <x v="1"/>
    <n v="17.2"/>
    <n v="34.4"/>
    <x v="50"/>
    <d v="2025-02-23T00:00:00"/>
    <x v="1"/>
    <x v="2"/>
    <x v="1"/>
    <x v="0"/>
    <x v="8"/>
    <x v="2"/>
    <x v="7"/>
    <x v="1"/>
  </r>
  <r>
    <x v="1345"/>
    <x v="5"/>
    <x v="8"/>
    <n v="58.1"/>
    <n v="464.8"/>
    <x v="50"/>
    <d v="2025-02-23T00:00:00"/>
    <x v="2"/>
    <x v="4"/>
    <x v="0"/>
    <x v="0"/>
    <x v="8"/>
    <x v="2"/>
    <x v="7"/>
    <x v="2"/>
  </r>
  <r>
    <x v="1346"/>
    <x v="15"/>
    <x v="12"/>
    <n v="31.5"/>
    <n v="126"/>
    <x v="50"/>
    <d v="2025-02-23T00:00:00"/>
    <x v="2"/>
    <x v="4"/>
    <x v="4"/>
    <x v="0"/>
    <x v="8"/>
    <x v="2"/>
    <x v="7"/>
    <x v="2"/>
  </r>
  <r>
    <x v="1347"/>
    <x v="0"/>
    <x v="0"/>
    <n v="27.1"/>
    <n v="27.1"/>
    <x v="50"/>
    <d v="2025-02-22T00:00:00"/>
    <x v="2"/>
    <x v="0"/>
    <x v="1"/>
    <x v="0"/>
    <x v="17"/>
    <x v="1"/>
    <x v="7"/>
    <x v="2"/>
  </r>
  <r>
    <x v="1348"/>
    <x v="18"/>
    <x v="12"/>
    <n v="28.5"/>
    <n v="114"/>
    <x v="50"/>
    <d v="2025-02-22T00:00:00"/>
    <x v="1"/>
    <x v="1"/>
    <x v="2"/>
    <x v="0"/>
    <x v="9"/>
    <x v="1"/>
    <x v="7"/>
    <x v="1"/>
  </r>
  <r>
    <x v="1349"/>
    <x v="10"/>
    <x v="0"/>
    <n v="40.5"/>
    <n v="40.5"/>
    <x v="51"/>
    <d v="2025-02-23T00:00:00"/>
    <x v="3"/>
    <x v="2"/>
    <x v="0"/>
    <x v="0"/>
    <x v="9"/>
    <x v="1"/>
    <x v="7"/>
    <x v="3"/>
  </r>
  <r>
    <x v="1350"/>
    <x v="2"/>
    <x v="2"/>
    <n v="77.900000000000006"/>
    <n v="233.70000000000002"/>
    <x v="51"/>
    <d v="2025-02-25T00:00:00"/>
    <x v="2"/>
    <x v="1"/>
    <x v="2"/>
    <x v="0"/>
    <x v="19"/>
    <x v="5"/>
    <x v="7"/>
    <x v="2"/>
  </r>
  <r>
    <x v="1351"/>
    <x v="18"/>
    <x v="12"/>
    <n v="37.1"/>
    <n v="148.4"/>
    <x v="51"/>
    <d v="2025-02-23T00:00:00"/>
    <x v="1"/>
    <x v="4"/>
    <x v="2"/>
    <x v="0"/>
    <x v="19"/>
    <x v="1"/>
    <x v="7"/>
    <x v="1"/>
  </r>
  <r>
    <x v="1352"/>
    <x v="16"/>
    <x v="2"/>
    <n v="51.6"/>
    <n v="154.80000000000001"/>
    <x v="51"/>
    <d v="2025-03-01T00:00:00"/>
    <x v="2"/>
    <x v="0"/>
    <x v="4"/>
    <x v="0"/>
    <x v="19"/>
    <x v="9"/>
    <x v="7"/>
    <x v="2"/>
  </r>
  <r>
    <x v="1353"/>
    <x v="7"/>
    <x v="2"/>
    <n v="98"/>
    <n v="294"/>
    <x v="51"/>
    <d v="2025-02-22T00:00:00"/>
    <x v="1"/>
    <x v="1"/>
    <x v="1"/>
    <x v="0"/>
    <x v="19"/>
    <x v="3"/>
    <x v="7"/>
    <x v="1"/>
  </r>
  <r>
    <x v="1354"/>
    <x v="6"/>
    <x v="3"/>
    <n v="41.4"/>
    <n v="289.8"/>
    <x v="51"/>
    <d v="2025-02-22T00:00:00"/>
    <x v="1"/>
    <x v="1"/>
    <x v="0"/>
    <x v="0"/>
    <x v="20"/>
    <x v="3"/>
    <x v="7"/>
    <x v="1"/>
  </r>
  <r>
    <x v="1355"/>
    <x v="11"/>
    <x v="8"/>
    <n v="34"/>
    <n v="272"/>
    <x v="51"/>
    <d v="2025-02-26T00:00:00"/>
    <x v="2"/>
    <x v="0"/>
    <x v="2"/>
    <x v="0"/>
    <x v="52"/>
    <x v="0"/>
    <x v="7"/>
    <x v="2"/>
  </r>
  <r>
    <x v="1356"/>
    <x v="6"/>
    <x v="0"/>
    <n v="66.3"/>
    <n v="66.3"/>
    <x v="51"/>
    <d v="2025-02-22T00:00:00"/>
    <x v="2"/>
    <x v="1"/>
    <x v="0"/>
    <x v="0"/>
    <x v="13"/>
    <x v="3"/>
    <x v="7"/>
    <x v="2"/>
  </r>
  <r>
    <x v="1357"/>
    <x v="7"/>
    <x v="0"/>
    <n v="33.5"/>
    <n v="33.5"/>
    <x v="51"/>
    <d v="2025-02-25T00:00:00"/>
    <x v="1"/>
    <x v="2"/>
    <x v="0"/>
    <x v="0"/>
    <x v="13"/>
    <x v="5"/>
    <x v="7"/>
    <x v="1"/>
  </r>
  <r>
    <x v="1358"/>
    <x v="12"/>
    <x v="1"/>
    <n v="70.8"/>
    <n v="141.6"/>
    <x v="51"/>
    <d v="2025-02-22T00:00:00"/>
    <x v="0"/>
    <x v="0"/>
    <x v="0"/>
    <x v="0"/>
    <x v="28"/>
    <x v="3"/>
    <x v="7"/>
    <x v="0"/>
  </r>
  <r>
    <x v="1359"/>
    <x v="6"/>
    <x v="1"/>
    <n v="127.6"/>
    <n v="255.2"/>
    <x v="51"/>
    <d v="2025-02-22T00:00:00"/>
    <x v="1"/>
    <x v="0"/>
    <x v="0"/>
    <x v="0"/>
    <x v="21"/>
    <x v="3"/>
    <x v="7"/>
    <x v="1"/>
  </r>
  <r>
    <x v="1360"/>
    <x v="6"/>
    <x v="2"/>
    <n v="95.9"/>
    <n v="287.70000000000005"/>
    <x v="51"/>
    <d v="2025-02-22T00:00:00"/>
    <x v="2"/>
    <x v="1"/>
    <x v="1"/>
    <x v="0"/>
    <x v="21"/>
    <x v="3"/>
    <x v="7"/>
    <x v="2"/>
  </r>
  <r>
    <x v="1361"/>
    <x v="2"/>
    <x v="1"/>
    <n v="78.099999999999994"/>
    <n v="156.19999999999999"/>
    <x v="51"/>
    <d v="2025-02-22T00:00:00"/>
    <x v="1"/>
    <x v="0"/>
    <x v="0"/>
    <x v="0"/>
    <x v="1"/>
    <x v="3"/>
    <x v="7"/>
    <x v="1"/>
  </r>
  <r>
    <x v="1362"/>
    <x v="13"/>
    <x v="1"/>
    <n v="43.2"/>
    <n v="86.4"/>
    <x v="51"/>
    <d v="2025-02-22T00:00:00"/>
    <x v="0"/>
    <x v="1"/>
    <x v="1"/>
    <x v="0"/>
    <x v="1"/>
    <x v="3"/>
    <x v="7"/>
    <x v="0"/>
  </r>
  <r>
    <x v="1363"/>
    <x v="8"/>
    <x v="12"/>
    <n v="28.4"/>
    <n v="113.6"/>
    <x v="51"/>
    <d v="2025-02-27T00:00:00"/>
    <x v="1"/>
    <x v="2"/>
    <x v="0"/>
    <x v="0"/>
    <x v="3"/>
    <x v="4"/>
    <x v="7"/>
    <x v="1"/>
  </r>
  <r>
    <x v="1364"/>
    <x v="2"/>
    <x v="1"/>
    <n v="81.7"/>
    <n v="163.4"/>
    <x v="51"/>
    <d v="2025-02-21T00:00:00"/>
    <x v="1"/>
    <x v="0"/>
    <x v="0"/>
    <x v="0"/>
    <x v="3"/>
    <x v="7"/>
    <x v="7"/>
    <x v="1"/>
  </r>
  <r>
    <x v="1365"/>
    <x v="18"/>
    <x v="1"/>
    <n v="56.7"/>
    <n v="113.4"/>
    <x v="51"/>
    <d v="2025-02-23T00:00:00"/>
    <x v="0"/>
    <x v="0"/>
    <x v="2"/>
    <x v="0"/>
    <x v="3"/>
    <x v="1"/>
    <x v="7"/>
    <x v="0"/>
  </r>
  <r>
    <x v="1366"/>
    <x v="3"/>
    <x v="12"/>
    <n v="66.5"/>
    <n v="266"/>
    <x v="51"/>
    <d v="2025-02-21T00:00:00"/>
    <x v="2"/>
    <x v="0"/>
    <x v="2"/>
    <x v="0"/>
    <x v="3"/>
    <x v="7"/>
    <x v="7"/>
    <x v="2"/>
  </r>
  <r>
    <x v="1367"/>
    <x v="1"/>
    <x v="1"/>
    <n v="105.3"/>
    <n v="210.6"/>
    <x v="51"/>
    <d v="2025-02-25T00:00:00"/>
    <x v="1"/>
    <x v="0"/>
    <x v="1"/>
    <x v="0"/>
    <x v="3"/>
    <x v="5"/>
    <x v="7"/>
    <x v="1"/>
  </r>
  <r>
    <x v="1368"/>
    <x v="10"/>
    <x v="9"/>
    <n v="33.799999999999997"/>
    <n v="169"/>
    <x v="51"/>
    <d v="2025-02-26T00:00:00"/>
    <x v="1"/>
    <x v="0"/>
    <x v="0"/>
    <x v="0"/>
    <x v="3"/>
    <x v="0"/>
    <x v="7"/>
    <x v="1"/>
  </r>
  <r>
    <x v="1369"/>
    <x v="6"/>
    <x v="2"/>
    <n v="63.4"/>
    <n v="190.2"/>
    <x v="51"/>
    <d v="2025-02-26T00:00:00"/>
    <x v="1"/>
    <x v="3"/>
    <x v="1"/>
    <x v="0"/>
    <x v="24"/>
    <x v="0"/>
    <x v="7"/>
    <x v="1"/>
  </r>
  <r>
    <x v="1370"/>
    <x v="6"/>
    <x v="2"/>
    <n v="49"/>
    <n v="147"/>
    <x v="51"/>
    <d v="2025-02-25T00:00:00"/>
    <x v="1"/>
    <x v="3"/>
    <x v="0"/>
    <x v="0"/>
    <x v="49"/>
    <x v="5"/>
    <x v="7"/>
    <x v="1"/>
  </r>
  <r>
    <x v="1371"/>
    <x v="1"/>
    <x v="1"/>
    <n v="40"/>
    <n v="80"/>
    <x v="51"/>
    <d v="2025-02-22T00:00:00"/>
    <x v="2"/>
    <x v="4"/>
    <x v="1"/>
    <x v="0"/>
    <x v="23"/>
    <x v="3"/>
    <x v="7"/>
    <x v="2"/>
  </r>
  <r>
    <x v="1372"/>
    <x v="6"/>
    <x v="12"/>
    <n v="86.3"/>
    <n v="345.2"/>
    <x v="51"/>
    <d v="2025-02-22T00:00:00"/>
    <x v="3"/>
    <x v="0"/>
    <x v="0"/>
    <x v="0"/>
    <x v="6"/>
    <x v="3"/>
    <x v="7"/>
    <x v="3"/>
  </r>
  <r>
    <x v="1373"/>
    <x v="6"/>
    <x v="0"/>
    <n v="51.6"/>
    <n v="51.6"/>
    <x v="51"/>
    <d v="2025-02-23T00:00:00"/>
    <x v="2"/>
    <x v="2"/>
    <x v="2"/>
    <x v="0"/>
    <x v="6"/>
    <x v="1"/>
    <x v="7"/>
    <x v="2"/>
  </r>
  <r>
    <x v="1374"/>
    <x v="10"/>
    <x v="2"/>
    <n v="26.7"/>
    <n v="80.099999999999994"/>
    <x v="51"/>
    <d v="2025-02-26T00:00:00"/>
    <x v="2"/>
    <x v="2"/>
    <x v="1"/>
    <x v="0"/>
    <x v="6"/>
    <x v="0"/>
    <x v="7"/>
    <x v="2"/>
  </r>
  <r>
    <x v="1375"/>
    <x v="18"/>
    <x v="1"/>
    <n v="68.099999999999994"/>
    <n v="136.19999999999999"/>
    <x v="51"/>
    <d v="2025-02-22T00:00:00"/>
    <x v="1"/>
    <x v="0"/>
    <x v="1"/>
    <x v="0"/>
    <x v="6"/>
    <x v="3"/>
    <x v="7"/>
    <x v="1"/>
  </r>
  <r>
    <x v="1376"/>
    <x v="1"/>
    <x v="0"/>
    <n v="81.7"/>
    <n v="81.7"/>
    <x v="51"/>
    <d v="2025-02-22T00:00:00"/>
    <x v="1"/>
    <x v="0"/>
    <x v="0"/>
    <x v="0"/>
    <x v="7"/>
    <x v="3"/>
    <x v="7"/>
    <x v="1"/>
  </r>
  <r>
    <x v="1377"/>
    <x v="18"/>
    <x v="7"/>
    <n v="25.1"/>
    <n v="251"/>
    <x v="51"/>
    <d v="2025-02-24T00:00:00"/>
    <x v="1"/>
    <x v="3"/>
    <x v="1"/>
    <x v="0"/>
    <x v="8"/>
    <x v="2"/>
    <x v="7"/>
    <x v="1"/>
  </r>
  <r>
    <x v="1378"/>
    <x v="8"/>
    <x v="0"/>
    <n v="20.2"/>
    <n v="20.2"/>
    <x v="51"/>
    <d v="2025-02-25T00:00:00"/>
    <x v="2"/>
    <x v="0"/>
    <x v="0"/>
    <x v="0"/>
    <x v="8"/>
    <x v="5"/>
    <x v="7"/>
    <x v="2"/>
  </r>
  <r>
    <x v="1379"/>
    <x v="8"/>
    <x v="2"/>
    <n v="15.4"/>
    <n v="46.2"/>
    <x v="51"/>
    <d v="2025-02-22T00:00:00"/>
    <x v="1"/>
    <x v="1"/>
    <x v="2"/>
    <x v="0"/>
    <x v="8"/>
    <x v="3"/>
    <x v="7"/>
    <x v="1"/>
  </r>
  <r>
    <x v="1380"/>
    <x v="10"/>
    <x v="0"/>
    <n v="59.2"/>
    <n v="59.2"/>
    <x v="51"/>
    <d v="2025-02-22T00:00:00"/>
    <x v="1"/>
    <x v="2"/>
    <x v="2"/>
    <x v="0"/>
    <x v="17"/>
    <x v="3"/>
    <x v="7"/>
    <x v="1"/>
  </r>
  <r>
    <x v="1381"/>
    <x v="0"/>
    <x v="0"/>
    <n v="46.7"/>
    <n v="46.7"/>
    <x v="51"/>
    <d v="2025-02-26T00:00:00"/>
    <x v="1"/>
    <x v="0"/>
    <x v="0"/>
    <x v="0"/>
    <x v="17"/>
    <x v="0"/>
    <x v="7"/>
    <x v="1"/>
  </r>
  <r>
    <x v="1382"/>
    <x v="6"/>
    <x v="20"/>
    <n v="41.6"/>
    <n v="624"/>
    <x v="51"/>
    <d v="2025-02-23T00:00:00"/>
    <x v="1"/>
    <x v="1"/>
    <x v="0"/>
    <x v="0"/>
    <x v="26"/>
    <x v="1"/>
    <x v="7"/>
    <x v="1"/>
  </r>
  <r>
    <x v="1383"/>
    <x v="8"/>
    <x v="1"/>
    <n v="19.2"/>
    <n v="38.4"/>
    <x v="51"/>
    <d v="2025-02-24T00:00:00"/>
    <x v="1"/>
    <x v="4"/>
    <x v="2"/>
    <x v="0"/>
    <x v="9"/>
    <x v="2"/>
    <x v="7"/>
    <x v="1"/>
  </r>
  <r>
    <x v="1384"/>
    <x v="17"/>
    <x v="3"/>
    <n v="41.8"/>
    <n v="292.59999999999997"/>
    <x v="51"/>
    <d v="2025-02-23T00:00:00"/>
    <x v="2"/>
    <x v="2"/>
    <x v="0"/>
    <x v="0"/>
    <x v="11"/>
    <x v="1"/>
    <x v="7"/>
    <x v="2"/>
  </r>
  <r>
    <x v="1385"/>
    <x v="8"/>
    <x v="13"/>
    <n v="37.4"/>
    <n v="224.39999999999998"/>
    <x v="51"/>
    <d v="2025-02-23T00:00:00"/>
    <x v="1"/>
    <x v="0"/>
    <x v="2"/>
    <x v="0"/>
    <x v="11"/>
    <x v="1"/>
    <x v="7"/>
    <x v="1"/>
  </r>
  <r>
    <x v="1386"/>
    <x v="10"/>
    <x v="2"/>
    <n v="60.2"/>
    <n v="180.60000000000002"/>
    <x v="51"/>
    <d v="2025-02-24T00:00:00"/>
    <x v="1"/>
    <x v="4"/>
    <x v="1"/>
    <x v="0"/>
    <x v="38"/>
    <x v="2"/>
    <x v="7"/>
    <x v="1"/>
  </r>
  <r>
    <x v="1387"/>
    <x v="9"/>
    <x v="1"/>
    <n v="91.5"/>
    <n v="183"/>
    <x v="52"/>
    <d v="2025-02-23T00:00:00"/>
    <x v="1"/>
    <x v="0"/>
    <x v="0"/>
    <x v="0"/>
    <x v="13"/>
    <x v="3"/>
    <x v="7"/>
    <x v="1"/>
  </r>
  <r>
    <x v="1388"/>
    <x v="3"/>
    <x v="9"/>
    <n v="55.7"/>
    <n v="278.5"/>
    <x v="52"/>
    <d v="2025-02-24T00:00:00"/>
    <x v="0"/>
    <x v="1"/>
    <x v="2"/>
    <x v="0"/>
    <x v="21"/>
    <x v="1"/>
    <x v="7"/>
    <x v="0"/>
  </r>
  <r>
    <x v="1389"/>
    <x v="7"/>
    <x v="1"/>
    <n v="76.7"/>
    <n v="153.4"/>
    <x v="52"/>
    <d v="2025-02-24T00:00:00"/>
    <x v="1"/>
    <x v="0"/>
    <x v="1"/>
    <x v="0"/>
    <x v="21"/>
    <x v="1"/>
    <x v="7"/>
    <x v="1"/>
  </r>
  <r>
    <x v="1390"/>
    <x v="8"/>
    <x v="38"/>
    <n v="28.2"/>
    <n v="592.19999999999993"/>
    <x v="52"/>
    <d v="2025-02-27T00:00:00"/>
    <x v="1"/>
    <x v="2"/>
    <x v="0"/>
    <x v="0"/>
    <x v="1"/>
    <x v="0"/>
    <x v="7"/>
    <x v="1"/>
  </r>
  <r>
    <x v="1391"/>
    <x v="7"/>
    <x v="9"/>
    <n v="93.2"/>
    <n v="466"/>
    <x v="52"/>
    <d v="2025-02-24T00:00:00"/>
    <x v="2"/>
    <x v="4"/>
    <x v="2"/>
    <x v="0"/>
    <x v="1"/>
    <x v="1"/>
    <x v="7"/>
    <x v="2"/>
  </r>
  <r>
    <x v="1392"/>
    <x v="17"/>
    <x v="0"/>
    <n v="33.299999999999997"/>
    <n v="33.299999999999997"/>
    <x v="52"/>
    <d v="2025-02-23T00:00:00"/>
    <x v="1"/>
    <x v="4"/>
    <x v="0"/>
    <x v="0"/>
    <x v="2"/>
    <x v="3"/>
    <x v="7"/>
    <x v="1"/>
  </r>
  <r>
    <x v="1393"/>
    <x v="10"/>
    <x v="1"/>
    <n v="39.1"/>
    <n v="78.2"/>
    <x v="52"/>
    <d v="2025-02-25T00:00:00"/>
    <x v="1"/>
    <x v="0"/>
    <x v="0"/>
    <x v="0"/>
    <x v="44"/>
    <x v="2"/>
    <x v="7"/>
    <x v="1"/>
  </r>
  <r>
    <x v="1394"/>
    <x v="7"/>
    <x v="4"/>
    <n v="45.3"/>
    <n v="543.59999999999991"/>
    <x v="52"/>
    <d v="2025-02-23T00:00:00"/>
    <x v="1"/>
    <x v="2"/>
    <x v="0"/>
    <x v="0"/>
    <x v="33"/>
    <x v="3"/>
    <x v="7"/>
    <x v="1"/>
  </r>
  <r>
    <x v="1395"/>
    <x v="9"/>
    <x v="3"/>
    <n v="33.9"/>
    <n v="237.29999999999998"/>
    <x v="52"/>
    <d v="2025-02-23T00:00:00"/>
    <x v="1"/>
    <x v="4"/>
    <x v="0"/>
    <x v="0"/>
    <x v="33"/>
    <x v="3"/>
    <x v="7"/>
    <x v="1"/>
  </r>
  <r>
    <x v="1396"/>
    <x v="8"/>
    <x v="2"/>
    <n v="19"/>
    <n v="57"/>
    <x v="52"/>
    <d v="2025-02-23T00:00:00"/>
    <x v="1"/>
    <x v="0"/>
    <x v="2"/>
    <x v="0"/>
    <x v="15"/>
    <x v="3"/>
    <x v="7"/>
    <x v="1"/>
  </r>
  <r>
    <x v="1397"/>
    <x v="4"/>
    <x v="0"/>
    <n v="41.9"/>
    <n v="41.9"/>
    <x v="52"/>
    <d v="2025-02-25T00:00:00"/>
    <x v="2"/>
    <x v="2"/>
    <x v="0"/>
    <x v="0"/>
    <x v="22"/>
    <x v="2"/>
    <x v="7"/>
    <x v="2"/>
  </r>
  <r>
    <x v="1398"/>
    <x v="1"/>
    <x v="12"/>
    <n v="37.5"/>
    <n v="150"/>
    <x v="52"/>
    <d v="2025-02-22T00:00:00"/>
    <x v="2"/>
    <x v="0"/>
    <x v="0"/>
    <x v="0"/>
    <x v="3"/>
    <x v="7"/>
    <x v="7"/>
    <x v="2"/>
  </r>
  <r>
    <x v="1399"/>
    <x v="0"/>
    <x v="1"/>
    <n v="40.799999999999997"/>
    <n v="81.599999999999994"/>
    <x v="52"/>
    <d v="2025-02-25T00:00:00"/>
    <x v="1"/>
    <x v="0"/>
    <x v="0"/>
    <x v="0"/>
    <x v="3"/>
    <x v="2"/>
    <x v="7"/>
    <x v="1"/>
  </r>
  <r>
    <x v="1400"/>
    <x v="0"/>
    <x v="12"/>
    <n v="23.1"/>
    <n v="92.4"/>
    <x v="52"/>
    <d v="2025-02-23T00:00:00"/>
    <x v="2"/>
    <x v="4"/>
    <x v="0"/>
    <x v="0"/>
    <x v="3"/>
    <x v="3"/>
    <x v="7"/>
    <x v="2"/>
  </r>
  <r>
    <x v="1401"/>
    <x v="8"/>
    <x v="9"/>
    <n v="39.299999999999997"/>
    <n v="196.5"/>
    <x v="52"/>
    <d v="2025-02-23T00:00:00"/>
    <x v="2"/>
    <x v="0"/>
    <x v="0"/>
    <x v="0"/>
    <x v="3"/>
    <x v="3"/>
    <x v="7"/>
    <x v="2"/>
  </r>
  <r>
    <x v="1402"/>
    <x v="2"/>
    <x v="12"/>
    <n v="85.2"/>
    <n v="340.8"/>
    <x v="52"/>
    <d v="2025-02-27T00:00:00"/>
    <x v="1"/>
    <x v="2"/>
    <x v="0"/>
    <x v="0"/>
    <x v="3"/>
    <x v="0"/>
    <x v="7"/>
    <x v="1"/>
  </r>
  <r>
    <x v="1403"/>
    <x v="8"/>
    <x v="13"/>
    <n v="16"/>
    <n v="96"/>
    <x v="52"/>
    <d v="2025-02-25T00:00:00"/>
    <x v="1"/>
    <x v="1"/>
    <x v="0"/>
    <x v="0"/>
    <x v="3"/>
    <x v="2"/>
    <x v="7"/>
    <x v="1"/>
  </r>
  <r>
    <x v="1404"/>
    <x v="1"/>
    <x v="1"/>
    <n v="33.799999999999997"/>
    <n v="67.599999999999994"/>
    <x v="52"/>
    <d v="2025-02-26T00:00:00"/>
    <x v="2"/>
    <x v="1"/>
    <x v="0"/>
    <x v="0"/>
    <x v="3"/>
    <x v="5"/>
    <x v="7"/>
    <x v="2"/>
  </r>
  <r>
    <x v="1405"/>
    <x v="3"/>
    <x v="0"/>
    <n v="70"/>
    <n v="70"/>
    <x v="52"/>
    <d v="2025-02-23T00:00:00"/>
    <x v="2"/>
    <x v="0"/>
    <x v="0"/>
    <x v="0"/>
    <x v="3"/>
    <x v="3"/>
    <x v="7"/>
    <x v="2"/>
  </r>
  <r>
    <x v="1406"/>
    <x v="9"/>
    <x v="0"/>
    <n v="88"/>
    <n v="88"/>
    <x v="52"/>
    <d v="2025-02-27T00:00:00"/>
    <x v="2"/>
    <x v="3"/>
    <x v="0"/>
    <x v="0"/>
    <x v="3"/>
    <x v="0"/>
    <x v="7"/>
    <x v="2"/>
  </r>
  <r>
    <x v="1407"/>
    <x v="2"/>
    <x v="2"/>
    <n v="74.099999999999994"/>
    <n v="222.29999999999998"/>
    <x v="52"/>
    <d v="2025-02-22T00:00:00"/>
    <x v="1"/>
    <x v="4"/>
    <x v="1"/>
    <x v="0"/>
    <x v="3"/>
    <x v="7"/>
    <x v="7"/>
    <x v="1"/>
  </r>
  <r>
    <x v="1408"/>
    <x v="2"/>
    <x v="0"/>
    <n v="161.9"/>
    <n v="161.9"/>
    <x v="52"/>
    <d v="2025-02-24T00:00:00"/>
    <x v="1"/>
    <x v="2"/>
    <x v="0"/>
    <x v="0"/>
    <x v="3"/>
    <x v="1"/>
    <x v="7"/>
    <x v="1"/>
  </r>
  <r>
    <x v="1409"/>
    <x v="4"/>
    <x v="1"/>
    <n v="44"/>
    <n v="88"/>
    <x v="52"/>
    <d v="2025-02-23T00:00:00"/>
    <x v="3"/>
    <x v="4"/>
    <x v="1"/>
    <x v="0"/>
    <x v="3"/>
    <x v="3"/>
    <x v="7"/>
    <x v="3"/>
  </r>
  <r>
    <x v="1410"/>
    <x v="11"/>
    <x v="0"/>
    <n v="32.1"/>
    <n v="32.1"/>
    <x v="52"/>
    <d v="2025-02-22T00:00:00"/>
    <x v="2"/>
    <x v="3"/>
    <x v="3"/>
    <x v="0"/>
    <x v="3"/>
    <x v="7"/>
    <x v="7"/>
    <x v="2"/>
  </r>
  <r>
    <x v="1411"/>
    <x v="2"/>
    <x v="12"/>
    <n v="104.8"/>
    <n v="419.2"/>
    <x v="53"/>
    <d v="2025-02-25T00:00:00"/>
    <x v="3"/>
    <x v="0"/>
    <x v="0"/>
    <x v="0"/>
    <x v="3"/>
    <x v="1"/>
    <x v="8"/>
    <x v="3"/>
  </r>
  <r>
    <x v="1412"/>
    <x v="9"/>
    <x v="13"/>
    <n v="67.400000000000006"/>
    <n v="404.40000000000003"/>
    <x v="53"/>
    <d v="2025-02-24T00:00:00"/>
    <x v="2"/>
    <x v="3"/>
    <x v="0"/>
    <x v="0"/>
    <x v="3"/>
    <x v="3"/>
    <x v="8"/>
    <x v="2"/>
  </r>
  <r>
    <x v="1413"/>
    <x v="6"/>
    <x v="1"/>
    <n v="115.2"/>
    <n v="230.4"/>
    <x v="53"/>
    <d v="2025-02-24T00:00:00"/>
    <x v="2"/>
    <x v="1"/>
    <x v="0"/>
    <x v="0"/>
    <x v="4"/>
    <x v="3"/>
    <x v="8"/>
    <x v="2"/>
  </r>
  <r>
    <x v="1414"/>
    <x v="8"/>
    <x v="19"/>
    <n v="15.5"/>
    <n v="449.5"/>
    <x v="53"/>
    <d v="2025-02-25T00:00:00"/>
    <x v="2"/>
    <x v="0"/>
    <x v="1"/>
    <x v="0"/>
    <x v="23"/>
    <x v="1"/>
    <x v="8"/>
    <x v="2"/>
  </r>
  <r>
    <x v="1415"/>
    <x v="6"/>
    <x v="5"/>
    <n v="66.400000000000006"/>
    <n v="730.40000000000009"/>
    <x v="53"/>
    <d v="2025-02-25T00:00:00"/>
    <x v="2"/>
    <x v="0"/>
    <x v="0"/>
    <x v="0"/>
    <x v="6"/>
    <x v="1"/>
    <x v="8"/>
    <x v="2"/>
  </r>
  <r>
    <x v="1416"/>
    <x v="9"/>
    <x v="4"/>
    <n v="68.099999999999994"/>
    <n v="817.19999999999993"/>
    <x v="53"/>
    <d v="2025-02-24T00:00:00"/>
    <x v="2"/>
    <x v="2"/>
    <x v="0"/>
    <x v="0"/>
    <x v="8"/>
    <x v="3"/>
    <x v="8"/>
    <x v="2"/>
  </r>
  <r>
    <x v="1417"/>
    <x v="8"/>
    <x v="9"/>
    <n v="32.5"/>
    <n v="162.5"/>
    <x v="53"/>
    <d v="2025-02-27T00:00:00"/>
    <x v="1"/>
    <x v="2"/>
    <x v="1"/>
    <x v="0"/>
    <x v="8"/>
    <x v="5"/>
    <x v="8"/>
    <x v="1"/>
  </r>
  <r>
    <x v="1418"/>
    <x v="15"/>
    <x v="2"/>
    <n v="61.2"/>
    <n v="183.60000000000002"/>
    <x v="53"/>
    <d v="2025-02-25T00:00:00"/>
    <x v="2"/>
    <x v="1"/>
    <x v="1"/>
    <x v="0"/>
    <x v="8"/>
    <x v="1"/>
    <x v="8"/>
    <x v="2"/>
  </r>
  <r>
    <x v="1419"/>
    <x v="9"/>
    <x v="1"/>
    <n v="54.2"/>
    <n v="108.4"/>
    <x v="53"/>
    <d v="2025-02-24T00:00:00"/>
    <x v="2"/>
    <x v="1"/>
    <x v="0"/>
    <x v="0"/>
    <x v="8"/>
    <x v="3"/>
    <x v="8"/>
    <x v="2"/>
  </r>
  <r>
    <x v="1420"/>
    <x v="11"/>
    <x v="8"/>
    <n v="28.7"/>
    <n v="229.6"/>
    <x v="53"/>
    <d v="2025-02-25T00:00:00"/>
    <x v="1"/>
    <x v="1"/>
    <x v="0"/>
    <x v="0"/>
    <x v="9"/>
    <x v="1"/>
    <x v="8"/>
    <x v="1"/>
  </r>
  <r>
    <x v="1421"/>
    <x v="12"/>
    <x v="13"/>
    <n v="38.200000000000003"/>
    <n v="229.20000000000002"/>
    <x v="53"/>
    <d v="2025-02-27T00:00:00"/>
    <x v="2"/>
    <x v="0"/>
    <x v="1"/>
    <x v="0"/>
    <x v="9"/>
    <x v="5"/>
    <x v="8"/>
    <x v="2"/>
  </r>
  <r>
    <x v="1422"/>
    <x v="8"/>
    <x v="4"/>
    <n v="17.600000000000001"/>
    <n v="211.20000000000002"/>
    <x v="53"/>
    <d v="2025-02-24T00:00:00"/>
    <x v="2"/>
    <x v="2"/>
    <x v="1"/>
    <x v="0"/>
    <x v="9"/>
    <x v="3"/>
    <x v="8"/>
    <x v="2"/>
  </r>
  <r>
    <x v="1423"/>
    <x v="10"/>
    <x v="2"/>
    <n v="74.599999999999994"/>
    <n v="223.79999999999998"/>
    <x v="53"/>
    <d v="2025-02-23T00:00:00"/>
    <x v="2"/>
    <x v="2"/>
    <x v="0"/>
    <x v="0"/>
    <x v="11"/>
    <x v="7"/>
    <x v="8"/>
    <x v="2"/>
  </r>
  <r>
    <x v="1424"/>
    <x v="16"/>
    <x v="20"/>
    <n v="72.599999999999994"/>
    <n v="1089"/>
    <x v="53"/>
    <d v="2025-02-23T00:00:00"/>
    <x v="0"/>
    <x v="1"/>
    <x v="1"/>
    <x v="0"/>
    <x v="11"/>
    <x v="7"/>
    <x v="8"/>
    <x v="0"/>
  </r>
  <r>
    <x v="1425"/>
    <x v="7"/>
    <x v="0"/>
    <n v="62.3"/>
    <n v="62.3"/>
    <x v="53"/>
    <d v="2025-02-24T00:00:00"/>
    <x v="2"/>
    <x v="1"/>
    <x v="0"/>
    <x v="0"/>
    <x v="11"/>
    <x v="3"/>
    <x v="8"/>
    <x v="2"/>
  </r>
  <r>
    <x v="1426"/>
    <x v="3"/>
    <x v="2"/>
    <n v="33.799999999999997"/>
    <n v="101.39999999999999"/>
    <x v="53"/>
    <d v="2025-02-25T00:00:00"/>
    <x v="1"/>
    <x v="0"/>
    <x v="2"/>
    <x v="0"/>
    <x v="20"/>
    <x v="1"/>
    <x v="8"/>
    <x v="1"/>
  </r>
  <r>
    <x v="1427"/>
    <x v="9"/>
    <x v="0"/>
    <n v="85.7"/>
    <n v="85.7"/>
    <x v="53"/>
    <d v="2025-02-26T00:00:00"/>
    <x v="1"/>
    <x v="3"/>
    <x v="1"/>
    <x v="0"/>
    <x v="21"/>
    <x v="2"/>
    <x v="8"/>
    <x v="1"/>
  </r>
  <r>
    <x v="1428"/>
    <x v="6"/>
    <x v="1"/>
    <n v="92.1"/>
    <n v="184.2"/>
    <x v="53"/>
    <d v="2025-02-25T00:00:00"/>
    <x v="1"/>
    <x v="1"/>
    <x v="0"/>
    <x v="0"/>
    <x v="21"/>
    <x v="1"/>
    <x v="8"/>
    <x v="1"/>
  </r>
  <r>
    <x v="1429"/>
    <x v="16"/>
    <x v="2"/>
    <n v="65.099999999999994"/>
    <n v="195.29999999999998"/>
    <x v="53"/>
    <d v="2025-02-26T00:00:00"/>
    <x v="1"/>
    <x v="0"/>
    <x v="0"/>
    <x v="0"/>
    <x v="1"/>
    <x v="2"/>
    <x v="8"/>
    <x v="1"/>
  </r>
  <r>
    <x v="1430"/>
    <x v="9"/>
    <x v="3"/>
    <n v="20.3"/>
    <n v="142.1"/>
    <x v="53"/>
    <d v="2025-02-24T00:00:00"/>
    <x v="2"/>
    <x v="2"/>
    <x v="2"/>
    <x v="0"/>
    <x v="2"/>
    <x v="3"/>
    <x v="8"/>
    <x v="2"/>
  </r>
  <r>
    <x v="1431"/>
    <x v="19"/>
    <x v="1"/>
    <n v="29.8"/>
    <n v="59.6"/>
    <x v="53"/>
    <d v="2025-02-25T00:00:00"/>
    <x v="2"/>
    <x v="1"/>
    <x v="2"/>
    <x v="0"/>
    <x v="34"/>
    <x v="1"/>
    <x v="8"/>
    <x v="2"/>
  </r>
  <r>
    <x v="1432"/>
    <x v="0"/>
    <x v="1"/>
    <n v="24.2"/>
    <n v="48.4"/>
    <x v="53"/>
    <d v="2025-02-25T00:00:00"/>
    <x v="2"/>
    <x v="3"/>
    <x v="2"/>
    <x v="0"/>
    <x v="3"/>
    <x v="1"/>
    <x v="8"/>
    <x v="2"/>
  </r>
  <r>
    <x v="1433"/>
    <x v="3"/>
    <x v="0"/>
    <n v="57.3"/>
    <n v="57.3"/>
    <x v="53"/>
    <d v="2025-02-25T00:00:00"/>
    <x v="1"/>
    <x v="0"/>
    <x v="0"/>
    <x v="0"/>
    <x v="3"/>
    <x v="1"/>
    <x v="8"/>
    <x v="1"/>
  </r>
  <r>
    <x v="1434"/>
    <x v="2"/>
    <x v="0"/>
    <n v="108.9"/>
    <n v="108.9"/>
    <x v="53"/>
    <d v="2025-02-25T00:00:00"/>
    <x v="2"/>
    <x v="1"/>
    <x v="0"/>
    <x v="0"/>
    <x v="3"/>
    <x v="1"/>
    <x v="8"/>
    <x v="2"/>
  </r>
  <r>
    <x v="1435"/>
    <x v="7"/>
    <x v="9"/>
    <n v="50.7"/>
    <n v="253.5"/>
    <x v="53"/>
    <d v="2025-02-24T00:00:00"/>
    <x v="2"/>
    <x v="0"/>
    <x v="0"/>
    <x v="0"/>
    <x v="3"/>
    <x v="3"/>
    <x v="8"/>
    <x v="2"/>
  </r>
  <r>
    <x v="1436"/>
    <x v="7"/>
    <x v="11"/>
    <n v="66.099999999999994"/>
    <n v="594.9"/>
    <x v="53"/>
    <d v="2025-03-09T00:00:00"/>
    <x v="2"/>
    <x v="1"/>
    <x v="0"/>
    <x v="0"/>
    <x v="3"/>
    <x v="12"/>
    <x v="8"/>
    <x v="2"/>
  </r>
  <r>
    <x v="1437"/>
    <x v="12"/>
    <x v="9"/>
    <n v="36.700000000000003"/>
    <n v="183.5"/>
    <x v="53"/>
    <d v="2025-02-27T00:00:00"/>
    <x v="2"/>
    <x v="4"/>
    <x v="0"/>
    <x v="0"/>
    <x v="3"/>
    <x v="5"/>
    <x v="8"/>
    <x v="2"/>
  </r>
  <r>
    <x v="1438"/>
    <x v="8"/>
    <x v="14"/>
    <n v="19.3"/>
    <n v="328.1"/>
    <x v="53"/>
    <d v="2025-02-25T00:00:00"/>
    <x v="1"/>
    <x v="0"/>
    <x v="0"/>
    <x v="0"/>
    <x v="43"/>
    <x v="1"/>
    <x v="8"/>
    <x v="1"/>
  </r>
  <r>
    <x v="1439"/>
    <x v="8"/>
    <x v="12"/>
    <n v="20.7"/>
    <n v="82.8"/>
    <x v="53"/>
    <d v="2025-02-24T00:00:00"/>
    <x v="1"/>
    <x v="1"/>
    <x v="2"/>
    <x v="0"/>
    <x v="6"/>
    <x v="3"/>
    <x v="8"/>
    <x v="1"/>
  </r>
  <r>
    <x v="1440"/>
    <x v="5"/>
    <x v="2"/>
    <n v="54.7"/>
    <n v="164.10000000000002"/>
    <x v="53"/>
    <d v="2025-02-23T00:00:00"/>
    <x v="3"/>
    <x v="1"/>
    <x v="4"/>
    <x v="0"/>
    <x v="6"/>
    <x v="7"/>
    <x v="8"/>
    <x v="3"/>
  </r>
  <r>
    <x v="1441"/>
    <x v="4"/>
    <x v="1"/>
    <n v="19.8"/>
    <n v="39.6"/>
    <x v="53"/>
    <d v="2025-02-27T00:00:00"/>
    <x v="2"/>
    <x v="4"/>
    <x v="1"/>
    <x v="0"/>
    <x v="8"/>
    <x v="5"/>
    <x v="8"/>
    <x v="2"/>
  </r>
  <r>
    <x v="1442"/>
    <x v="7"/>
    <x v="0"/>
    <n v="41.1"/>
    <n v="41.1"/>
    <x v="53"/>
    <d v="2025-02-25T00:00:00"/>
    <x v="2"/>
    <x v="0"/>
    <x v="2"/>
    <x v="0"/>
    <x v="8"/>
    <x v="1"/>
    <x v="8"/>
    <x v="2"/>
  </r>
  <r>
    <x v="1443"/>
    <x v="11"/>
    <x v="8"/>
    <n v="43.5"/>
    <n v="348"/>
    <x v="53"/>
    <d v="2025-02-27T00:00:00"/>
    <x v="2"/>
    <x v="3"/>
    <x v="0"/>
    <x v="0"/>
    <x v="8"/>
    <x v="5"/>
    <x v="8"/>
    <x v="2"/>
  </r>
  <r>
    <x v="1444"/>
    <x v="8"/>
    <x v="21"/>
    <n v="19"/>
    <n v="266"/>
    <x v="53"/>
    <d v="2025-02-24T00:00:00"/>
    <x v="1"/>
    <x v="0"/>
    <x v="0"/>
    <x v="0"/>
    <x v="26"/>
    <x v="3"/>
    <x v="8"/>
    <x v="1"/>
  </r>
  <r>
    <x v="1445"/>
    <x v="2"/>
    <x v="12"/>
    <n v="51.4"/>
    <n v="205.6"/>
    <x v="53"/>
    <d v="2025-02-23T00:00:00"/>
    <x v="2"/>
    <x v="0"/>
    <x v="0"/>
    <x v="0"/>
    <x v="26"/>
    <x v="7"/>
    <x v="8"/>
    <x v="2"/>
  </r>
  <r>
    <x v="1446"/>
    <x v="10"/>
    <x v="1"/>
    <n v="39.799999999999997"/>
    <n v="79.599999999999994"/>
    <x v="53"/>
    <d v="2025-02-26T00:00:00"/>
    <x v="1"/>
    <x v="3"/>
    <x v="1"/>
    <x v="0"/>
    <x v="13"/>
    <x v="2"/>
    <x v="8"/>
    <x v="1"/>
  </r>
  <r>
    <x v="1447"/>
    <x v="6"/>
    <x v="9"/>
    <n v="61"/>
    <n v="305"/>
    <x v="53"/>
    <d v="2025-02-24T00:00:00"/>
    <x v="0"/>
    <x v="0"/>
    <x v="2"/>
    <x v="0"/>
    <x v="21"/>
    <x v="3"/>
    <x v="8"/>
    <x v="0"/>
  </r>
  <r>
    <x v="1448"/>
    <x v="8"/>
    <x v="5"/>
    <n v="15.1"/>
    <n v="166.1"/>
    <x v="54"/>
    <d v="2025-03-01T00:00:00"/>
    <x v="1"/>
    <x v="3"/>
    <x v="2"/>
    <x v="0"/>
    <x v="2"/>
    <x v="0"/>
    <x v="8"/>
    <x v="1"/>
  </r>
  <r>
    <x v="1449"/>
    <x v="1"/>
    <x v="3"/>
    <n v="71.3"/>
    <n v="499.09999999999997"/>
    <x v="54"/>
    <d v="2025-02-25T00:00:00"/>
    <x v="1"/>
    <x v="4"/>
    <x v="0"/>
    <x v="0"/>
    <x v="3"/>
    <x v="3"/>
    <x v="8"/>
    <x v="1"/>
  </r>
  <r>
    <x v="1450"/>
    <x v="10"/>
    <x v="0"/>
    <n v="25.8"/>
    <n v="25.8"/>
    <x v="54"/>
    <d v="2025-02-26T00:00:00"/>
    <x v="2"/>
    <x v="0"/>
    <x v="2"/>
    <x v="0"/>
    <x v="3"/>
    <x v="1"/>
    <x v="8"/>
    <x v="2"/>
  </r>
  <r>
    <x v="1451"/>
    <x v="8"/>
    <x v="9"/>
    <n v="39.6"/>
    <n v="198"/>
    <x v="54"/>
    <d v="2025-02-26T00:00:00"/>
    <x v="1"/>
    <x v="1"/>
    <x v="2"/>
    <x v="0"/>
    <x v="3"/>
    <x v="1"/>
    <x v="8"/>
    <x v="1"/>
  </r>
  <r>
    <x v="1452"/>
    <x v="5"/>
    <x v="1"/>
    <n v="64"/>
    <n v="128"/>
    <x v="54"/>
    <d v="2025-02-24T00:00:00"/>
    <x v="1"/>
    <x v="1"/>
    <x v="1"/>
    <x v="0"/>
    <x v="3"/>
    <x v="7"/>
    <x v="8"/>
    <x v="1"/>
  </r>
  <r>
    <x v="1453"/>
    <x v="8"/>
    <x v="1"/>
    <n v="30.6"/>
    <n v="61.2"/>
    <x v="54"/>
    <d v="2025-02-27T00:00:00"/>
    <x v="1"/>
    <x v="0"/>
    <x v="2"/>
    <x v="0"/>
    <x v="3"/>
    <x v="2"/>
    <x v="8"/>
    <x v="1"/>
  </r>
  <r>
    <x v="1454"/>
    <x v="8"/>
    <x v="1"/>
    <n v="21.3"/>
    <n v="42.6"/>
    <x v="54"/>
    <d v="2025-02-25T00:00:00"/>
    <x v="1"/>
    <x v="0"/>
    <x v="1"/>
    <x v="0"/>
    <x v="3"/>
    <x v="3"/>
    <x v="8"/>
    <x v="1"/>
  </r>
  <r>
    <x v="1455"/>
    <x v="7"/>
    <x v="0"/>
    <n v="40.799999999999997"/>
    <n v="40.799999999999997"/>
    <x v="54"/>
    <d v="2025-02-26T00:00:00"/>
    <x v="2"/>
    <x v="4"/>
    <x v="0"/>
    <x v="0"/>
    <x v="3"/>
    <x v="1"/>
    <x v="8"/>
    <x v="2"/>
  </r>
  <r>
    <x v="1456"/>
    <x v="9"/>
    <x v="12"/>
    <n v="27.7"/>
    <n v="110.8"/>
    <x v="54"/>
    <d v="2025-02-25T00:00:00"/>
    <x v="2"/>
    <x v="0"/>
    <x v="1"/>
    <x v="0"/>
    <x v="3"/>
    <x v="3"/>
    <x v="8"/>
    <x v="2"/>
  </r>
  <r>
    <x v="1457"/>
    <x v="6"/>
    <x v="1"/>
    <n v="64.599999999999994"/>
    <n v="129.19999999999999"/>
    <x v="54"/>
    <d v="2025-02-25T00:00:00"/>
    <x v="1"/>
    <x v="0"/>
    <x v="1"/>
    <x v="0"/>
    <x v="3"/>
    <x v="3"/>
    <x v="8"/>
    <x v="1"/>
  </r>
  <r>
    <x v="1458"/>
    <x v="6"/>
    <x v="27"/>
    <n v="91.1"/>
    <n v="1457.6"/>
    <x v="54"/>
    <d v="2025-02-25T00:00:00"/>
    <x v="2"/>
    <x v="1"/>
    <x v="2"/>
    <x v="0"/>
    <x v="3"/>
    <x v="3"/>
    <x v="8"/>
    <x v="2"/>
  </r>
  <r>
    <x v="1459"/>
    <x v="1"/>
    <x v="0"/>
    <n v="39.5"/>
    <n v="39.5"/>
    <x v="54"/>
    <d v="2025-03-04T00:00:00"/>
    <x v="2"/>
    <x v="0"/>
    <x v="0"/>
    <x v="0"/>
    <x v="3"/>
    <x v="9"/>
    <x v="8"/>
    <x v="2"/>
  </r>
  <r>
    <x v="1460"/>
    <x v="9"/>
    <x v="1"/>
    <n v="21.8"/>
    <n v="43.6"/>
    <x v="54"/>
    <d v="2025-02-28T00:00:00"/>
    <x v="1"/>
    <x v="4"/>
    <x v="2"/>
    <x v="0"/>
    <x v="3"/>
    <x v="5"/>
    <x v="8"/>
    <x v="1"/>
  </r>
  <r>
    <x v="1461"/>
    <x v="8"/>
    <x v="1"/>
    <n v="51"/>
    <n v="102"/>
    <x v="54"/>
    <d v="2025-02-27T00:00:00"/>
    <x v="1"/>
    <x v="3"/>
    <x v="2"/>
    <x v="0"/>
    <x v="3"/>
    <x v="2"/>
    <x v="8"/>
    <x v="1"/>
  </r>
  <r>
    <x v="1462"/>
    <x v="2"/>
    <x v="0"/>
    <n v="92.6"/>
    <n v="92.6"/>
    <x v="54"/>
    <d v="2025-02-27T00:00:00"/>
    <x v="2"/>
    <x v="0"/>
    <x v="2"/>
    <x v="0"/>
    <x v="35"/>
    <x v="2"/>
    <x v="8"/>
    <x v="2"/>
  </r>
  <r>
    <x v="1463"/>
    <x v="9"/>
    <x v="1"/>
    <n v="31.1"/>
    <n v="62.2"/>
    <x v="54"/>
    <d v="2025-03-01T00:00:00"/>
    <x v="0"/>
    <x v="1"/>
    <x v="3"/>
    <x v="0"/>
    <x v="23"/>
    <x v="0"/>
    <x v="8"/>
    <x v="0"/>
  </r>
  <r>
    <x v="1464"/>
    <x v="5"/>
    <x v="2"/>
    <n v="56.4"/>
    <n v="169.2"/>
    <x v="54"/>
    <d v="2025-02-25T00:00:00"/>
    <x v="0"/>
    <x v="1"/>
    <x v="0"/>
    <x v="0"/>
    <x v="6"/>
    <x v="3"/>
    <x v="8"/>
    <x v="0"/>
  </r>
  <r>
    <x v="1465"/>
    <x v="9"/>
    <x v="0"/>
    <n v="41.9"/>
    <n v="41.9"/>
    <x v="54"/>
    <d v="2025-02-24T00:00:00"/>
    <x v="1"/>
    <x v="1"/>
    <x v="0"/>
    <x v="0"/>
    <x v="6"/>
    <x v="7"/>
    <x v="8"/>
    <x v="1"/>
  </r>
  <r>
    <x v="1466"/>
    <x v="10"/>
    <x v="3"/>
    <n v="45.9"/>
    <n v="321.3"/>
    <x v="54"/>
    <d v="2025-02-25T00:00:00"/>
    <x v="1"/>
    <x v="3"/>
    <x v="2"/>
    <x v="0"/>
    <x v="8"/>
    <x v="3"/>
    <x v="8"/>
    <x v="1"/>
  </r>
  <r>
    <x v="1467"/>
    <x v="14"/>
    <x v="11"/>
    <n v="24.4"/>
    <n v="219.6"/>
    <x v="54"/>
    <d v="2025-02-28T00:00:00"/>
    <x v="1"/>
    <x v="3"/>
    <x v="2"/>
    <x v="0"/>
    <x v="8"/>
    <x v="5"/>
    <x v="8"/>
    <x v="1"/>
  </r>
  <r>
    <x v="1468"/>
    <x v="8"/>
    <x v="0"/>
    <n v="18.2"/>
    <n v="18.2"/>
    <x v="54"/>
    <d v="2025-02-25T00:00:00"/>
    <x v="2"/>
    <x v="2"/>
    <x v="2"/>
    <x v="0"/>
    <x v="8"/>
    <x v="3"/>
    <x v="8"/>
    <x v="2"/>
  </r>
  <r>
    <x v="1469"/>
    <x v="8"/>
    <x v="12"/>
    <n v="51.2"/>
    <n v="204.8"/>
    <x v="54"/>
    <d v="2025-02-25T00:00:00"/>
    <x v="2"/>
    <x v="0"/>
    <x v="0"/>
    <x v="0"/>
    <x v="8"/>
    <x v="3"/>
    <x v="8"/>
    <x v="2"/>
  </r>
  <r>
    <x v="1470"/>
    <x v="6"/>
    <x v="0"/>
    <n v="59.7"/>
    <n v="59.7"/>
    <x v="54"/>
    <d v="2025-02-27T00:00:00"/>
    <x v="1"/>
    <x v="0"/>
    <x v="2"/>
    <x v="0"/>
    <x v="8"/>
    <x v="2"/>
    <x v="8"/>
    <x v="1"/>
  </r>
  <r>
    <x v="1471"/>
    <x v="4"/>
    <x v="1"/>
    <n v="33.6"/>
    <n v="67.2"/>
    <x v="54"/>
    <d v="2025-02-26T00:00:00"/>
    <x v="2"/>
    <x v="0"/>
    <x v="0"/>
    <x v="0"/>
    <x v="17"/>
    <x v="1"/>
    <x v="8"/>
    <x v="2"/>
  </r>
  <r>
    <x v="1472"/>
    <x v="12"/>
    <x v="0"/>
    <n v="90.4"/>
    <n v="90.4"/>
    <x v="54"/>
    <d v="2025-02-28T00:00:00"/>
    <x v="1"/>
    <x v="1"/>
    <x v="2"/>
    <x v="0"/>
    <x v="10"/>
    <x v="5"/>
    <x v="8"/>
    <x v="1"/>
  </r>
  <r>
    <x v="1473"/>
    <x v="11"/>
    <x v="2"/>
    <n v="70.3"/>
    <n v="210.89999999999998"/>
    <x v="54"/>
    <d v="2025-02-24T00:00:00"/>
    <x v="1"/>
    <x v="1"/>
    <x v="2"/>
    <x v="0"/>
    <x v="11"/>
    <x v="7"/>
    <x v="8"/>
    <x v="1"/>
  </r>
  <r>
    <x v="1474"/>
    <x v="4"/>
    <x v="1"/>
    <n v="20.5"/>
    <n v="41"/>
    <x v="54"/>
    <d v="2025-02-27T00:00:00"/>
    <x v="2"/>
    <x v="0"/>
    <x v="1"/>
    <x v="0"/>
    <x v="11"/>
    <x v="2"/>
    <x v="8"/>
    <x v="2"/>
  </r>
  <r>
    <x v="1475"/>
    <x v="5"/>
    <x v="5"/>
    <n v="37.6"/>
    <n v="413.6"/>
    <x v="54"/>
    <d v="2025-02-25T00:00:00"/>
    <x v="1"/>
    <x v="0"/>
    <x v="0"/>
    <x v="0"/>
    <x v="38"/>
    <x v="3"/>
    <x v="8"/>
    <x v="1"/>
  </r>
  <r>
    <x v="1476"/>
    <x v="5"/>
    <x v="12"/>
    <n v="61.5"/>
    <n v="246"/>
    <x v="54"/>
    <d v="2025-03-03T00:00:00"/>
    <x v="2"/>
    <x v="1"/>
    <x v="4"/>
    <x v="0"/>
    <x v="13"/>
    <x v="6"/>
    <x v="8"/>
    <x v="2"/>
  </r>
  <r>
    <x v="1477"/>
    <x v="9"/>
    <x v="0"/>
    <n v="33.5"/>
    <n v="33.5"/>
    <x v="55"/>
    <d v="2025-03-01T00:00:00"/>
    <x v="1"/>
    <x v="4"/>
    <x v="1"/>
    <x v="0"/>
    <x v="21"/>
    <x v="5"/>
    <x v="8"/>
    <x v="1"/>
  </r>
  <r>
    <x v="1478"/>
    <x v="4"/>
    <x v="2"/>
    <n v="29.3"/>
    <n v="87.9"/>
    <x v="55"/>
    <d v="2025-02-27T00:00:00"/>
    <x v="2"/>
    <x v="1"/>
    <x v="2"/>
    <x v="0"/>
    <x v="1"/>
    <x v="1"/>
    <x v="8"/>
    <x v="2"/>
  </r>
  <r>
    <x v="1479"/>
    <x v="2"/>
    <x v="1"/>
    <n v="125.9"/>
    <n v="251.8"/>
    <x v="55"/>
    <d v="2025-03-02T00:00:00"/>
    <x v="2"/>
    <x v="4"/>
    <x v="1"/>
    <x v="0"/>
    <x v="1"/>
    <x v="0"/>
    <x v="8"/>
    <x v="2"/>
  </r>
  <r>
    <x v="1480"/>
    <x v="5"/>
    <x v="9"/>
    <n v="29.3"/>
    <n v="146.5"/>
    <x v="55"/>
    <d v="2025-02-25T00:00:00"/>
    <x v="1"/>
    <x v="2"/>
    <x v="0"/>
    <x v="0"/>
    <x v="44"/>
    <x v="7"/>
    <x v="8"/>
    <x v="1"/>
  </r>
  <r>
    <x v="1481"/>
    <x v="9"/>
    <x v="0"/>
    <n v="37.799999999999997"/>
    <n v="37.799999999999997"/>
    <x v="55"/>
    <d v="2025-02-28T00:00:00"/>
    <x v="2"/>
    <x v="0"/>
    <x v="2"/>
    <x v="0"/>
    <x v="3"/>
    <x v="2"/>
    <x v="8"/>
    <x v="2"/>
  </r>
  <r>
    <x v="1482"/>
    <x v="0"/>
    <x v="12"/>
    <n v="31.7"/>
    <n v="126.8"/>
    <x v="55"/>
    <d v="2025-02-26T00:00:00"/>
    <x v="1"/>
    <x v="2"/>
    <x v="2"/>
    <x v="0"/>
    <x v="3"/>
    <x v="3"/>
    <x v="8"/>
    <x v="1"/>
  </r>
  <r>
    <x v="1483"/>
    <x v="8"/>
    <x v="9"/>
    <n v="26.3"/>
    <n v="131.5"/>
    <x v="55"/>
    <d v="2025-02-26T00:00:00"/>
    <x v="2"/>
    <x v="3"/>
    <x v="2"/>
    <x v="0"/>
    <x v="3"/>
    <x v="3"/>
    <x v="8"/>
    <x v="2"/>
  </r>
  <r>
    <x v="1484"/>
    <x v="8"/>
    <x v="2"/>
    <n v="23.1"/>
    <n v="69.300000000000011"/>
    <x v="55"/>
    <d v="2025-02-26T00:00:00"/>
    <x v="3"/>
    <x v="2"/>
    <x v="1"/>
    <x v="0"/>
    <x v="3"/>
    <x v="3"/>
    <x v="8"/>
    <x v="3"/>
  </r>
  <r>
    <x v="1485"/>
    <x v="4"/>
    <x v="0"/>
    <n v="22.3"/>
    <n v="22.3"/>
    <x v="55"/>
    <d v="2025-02-27T00:00:00"/>
    <x v="2"/>
    <x v="2"/>
    <x v="0"/>
    <x v="0"/>
    <x v="3"/>
    <x v="1"/>
    <x v="8"/>
    <x v="2"/>
  </r>
  <r>
    <x v="1486"/>
    <x v="12"/>
    <x v="1"/>
    <n v="99.5"/>
    <n v="199"/>
    <x v="55"/>
    <d v="2025-02-27T00:00:00"/>
    <x v="2"/>
    <x v="2"/>
    <x v="0"/>
    <x v="0"/>
    <x v="3"/>
    <x v="1"/>
    <x v="8"/>
    <x v="2"/>
  </r>
  <r>
    <x v="1487"/>
    <x v="12"/>
    <x v="12"/>
    <n v="47.4"/>
    <n v="189.6"/>
    <x v="55"/>
    <d v="2025-02-28T00:00:00"/>
    <x v="2"/>
    <x v="1"/>
    <x v="0"/>
    <x v="0"/>
    <x v="3"/>
    <x v="2"/>
    <x v="8"/>
    <x v="2"/>
  </r>
  <r>
    <x v="1488"/>
    <x v="0"/>
    <x v="5"/>
    <n v="37.5"/>
    <n v="412.5"/>
    <x v="55"/>
    <d v="2025-02-27T00:00:00"/>
    <x v="2"/>
    <x v="0"/>
    <x v="3"/>
    <x v="0"/>
    <x v="3"/>
    <x v="1"/>
    <x v="8"/>
    <x v="2"/>
  </r>
  <r>
    <x v="1489"/>
    <x v="10"/>
    <x v="0"/>
    <n v="45.1"/>
    <n v="45.1"/>
    <x v="55"/>
    <d v="2025-03-02T00:00:00"/>
    <x v="1"/>
    <x v="3"/>
    <x v="2"/>
    <x v="0"/>
    <x v="24"/>
    <x v="0"/>
    <x v="8"/>
    <x v="1"/>
  </r>
  <r>
    <x v="1490"/>
    <x v="5"/>
    <x v="7"/>
    <n v="34.4"/>
    <n v="344"/>
    <x v="55"/>
    <d v="2025-02-28T00:00:00"/>
    <x v="1"/>
    <x v="2"/>
    <x v="0"/>
    <x v="0"/>
    <x v="16"/>
    <x v="2"/>
    <x v="8"/>
    <x v="1"/>
  </r>
  <r>
    <x v="1491"/>
    <x v="4"/>
    <x v="1"/>
    <n v="38"/>
    <n v="76"/>
    <x v="55"/>
    <d v="2025-02-27T00:00:00"/>
    <x v="2"/>
    <x v="1"/>
    <x v="0"/>
    <x v="0"/>
    <x v="5"/>
    <x v="1"/>
    <x v="8"/>
    <x v="2"/>
  </r>
  <r>
    <x v="1492"/>
    <x v="3"/>
    <x v="21"/>
    <n v="32.4"/>
    <n v="453.59999999999997"/>
    <x v="55"/>
    <d v="2025-02-28T00:00:00"/>
    <x v="1"/>
    <x v="4"/>
    <x v="0"/>
    <x v="0"/>
    <x v="6"/>
    <x v="2"/>
    <x v="8"/>
    <x v="1"/>
  </r>
  <r>
    <x v="1493"/>
    <x v="6"/>
    <x v="2"/>
    <n v="40.9"/>
    <n v="122.69999999999999"/>
    <x v="55"/>
    <d v="2025-02-25T00:00:00"/>
    <x v="0"/>
    <x v="1"/>
    <x v="0"/>
    <x v="0"/>
    <x v="8"/>
    <x v="7"/>
    <x v="8"/>
    <x v="0"/>
  </r>
  <r>
    <x v="1494"/>
    <x v="7"/>
    <x v="3"/>
    <n v="76.2"/>
    <n v="533.4"/>
    <x v="55"/>
    <d v="2025-02-27T00:00:00"/>
    <x v="2"/>
    <x v="2"/>
    <x v="1"/>
    <x v="0"/>
    <x v="8"/>
    <x v="1"/>
    <x v="8"/>
    <x v="2"/>
  </r>
  <r>
    <x v="1495"/>
    <x v="2"/>
    <x v="0"/>
    <n v="85.6"/>
    <n v="85.6"/>
    <x v="55"/>
    <d v="2025-02-27T00:00:00"/>
    <x v="1"/>
    <x v="2"/>
    <x v="0"/>
    <x v="0"/>
    <x v="8"/>
    <x v="1"/>
    <x v="8"/>
    <x v="1"/>
  </r>
  <r>
    <x v="1496"/>
    <x v="4"/>
    <x v="12"/>
    <n v="25"/>
    <n v="100"/>
    <x v="55"/>
    <d v="2025-02-27T00:00:00"/>
    <x v="2"/>
    <x v="2"/>
    <x v="2"/>
    <x v="0"/>
    <x v="8"/>
    <x v="1"/>
    <x v="8"/>
    <x v="2"/>
  </r>
  <r>
    <x v="1497"/>
    <x v="2"/>
    <x v="9"/>
    <n v="150.69999999999999"/>
    <n v="753.5"/>
    <x v="55"/>
    <d v="2025-02-26T00:00:00"/>
    <x v="0"/>
    <x v="0"/>
    <x v="2"/>
    <x v="0"/>
    <x v="8"/>
    <x v="3"/>
    <x v="8"/>
    <x v="0"/>
  </r>
  <r>
    <x v="1498"/>
    <x v="8"/>
    <x v="0"/>
    <n v="19.600000000000001"/>
    <n v="19.600000000000001"/>
    <x v="55"/>
    <d v="2025-02-26T00:00:00"/>
    <x v="1"/>
    <x v="1"/>
    <x v="4"/>
    <x v="0"/>
    <x v="8"/>
    <x v="3"/>
    <x v="8"/>
    <x v="1"/>
  </r>
  <r>
    <x v="1499"/>
    <x v="13"/>
    <x v="1"/>
    <n v="37.5"/>
    <n v="75"/>
    <x v="55"/>
    <d v="2025-02-28T00:00:00"/>
    <x v="2"/>
    <x v="1"/>
    <x v="2"/>
    <x v="0"/>
    <x v="17"/>
    <x v="2"/>
    <x v="8"/>
    <x v="2"/>
  </r>
  <r>
    <x v="1500"/>
    <x v="9"/>
    <x v="2"/>
    <n v="51.9"/>
    <n v="155.69999999999999"/>
    <x v="55"/>
    <d v="2025-03-03T00:00:00"/>
    <x v="2"/>
    <x v="0"/>
    <x v="4"/>
    <x v="0"/>
    <x v="11"/>
    <x v="4"/>
    <x v="8"/>
    <x v="2"/>
  </r>
  <r>
    <x v="1501"/>
    <x v="1"/>
    <x v="1"/>
    <n v="30.9"/>
    <n v="61.8"/>
    <x v="55"/>
    <d v="2025-02-27T00:00:00"/>
    <x v="2"/>
    <x v="1"/>
    <x v="0"/>
    <x v="0"/>
    <x v="18"/>
    <x v="1"/>
    <x v="8"/>
    <x v="2"/>
  </r>
  <r>
    <x v="1502"/>
    <x v="4"/>
    <x v="2"/>
    <n v="21.2"/>
    <n v="63.599999999999994"/>
    <x v="55"/>
    <d v="2025-02-28T00:00:00"/>
    <x v="2"/>
    <x v="1"/>
    <x v="0"/>
    <x v="0"/>
    <x v="19"/>
    <x v="2"/>
    <x v="8"/>
    <x v="2"/>
  </r>
  <r>
    <x v="1503"/>
    <x v="13"/>
    <x v="14"/>
    <n v="17.5"/>
    <n v="297.5"/>
    <x v="55"/>
    <d v="2025-02-26T00:00:00"/>
    <x v="1"/>
    <x v="1"/>
    <x v="1"/>
    <x v="0"/>
    <x v="13"/>
    <x v="3"/>
    <x v="8"/>
    <x v="1"/>
  </r>
  <r>
    <x v="1504"/>
    <x v="12"/>
    <x v="1"/>
    <n v="53.8"/>
    <n v="107.6"/>
    <x v="55"/>
    <d v="2025-03-02T00:00:00"/>
    <x v="2"/>
    <x v="0"/>
    <x v="2"/>
    <x v="0"/>
    <x v="21"/>
    <x v="0"/>
    <x v="8"/>
    <x v="2"/>
  </r>
  <r>
    <x v="1505"/>
    <x v="19"/>
    <x v="1"/>
    <n v="17"/>
    <n v="34"/>
    <x v="55"/>
    <d v="2025-02-26T00:00:00"/>
    <x v="1"/>
    <x v="3"/>
    <x v="0"/>
    <x v="0"/>
    <x v="21"/>
    <x v="3"/>
    <x v="8"/>
    <x v="1"/>
  </r>
  <r>
    <x v="1506"/>
    <x v="6"/>
    <x v="0"/>
    <n v="103.2"/>
    <n v="103.2"/>
    <x v="55"/>
    <d v="2025-03-05T00:00:00"/>
    <x v="1"/>
    <x v="2"/>
    <x v="1"/>
    <x v="0"/>
    <x v="1"/>
    <x v="9"/>
    <x v="8"/>
    <x v="1"/>
  </r>
  <r>
    <x v="1507"/>
    <x v="6"/>
    <x v="12"/>
    <n v="70.3"/>
    <n v="281.2"/>
    <x v="55"/>
    <d v="2025-02-26T00:00:00"/>
    <x v="1"/>
    <x v="0"/>
    <x v="0"/>
    <x v="0"/>
    <x v="3"/>
    <x v="3"/>
    <x v="8"/>
    <x v="1"/>
  </r>
  <r>
    <x v="1508"/>
    <x v="2"/>
    <x v="1"/>
    <n v="73.8"/>
    <n v="147.6"/>
    <x v="55"/>
    <d v="2025-02-25T00:00:00"/>
    <x v="1"/>
    <x v="3"/>
    <x v="2"/>
    <x v="0"/>
    <x v="3"/>
    <x v="7"/>
    <x v="8"/>
    <x v="1"/>
  </r>
  <r>
    <x v="1509"/>
    <x v="1"/>
    <x v="4"/>
    <n v="67.7"/>
    <n v="812.40000000000009"/>
    <x v="55"/>
    <d v="2025-03-01T00:00:00"/>
    <x v="1"/>
    <x v="1"/>
    <x v="1"/>
    <x v="0"/>
    <x v="3"/>
    <x v="5"/>
    <x v="8"/>
    <x v="1"/>
  </r>
  <r>
    <x v="1510"/>
    <x v="13"/>
    <x v="3"/>
    <n v="43.8"/>
    <n v="306.59999999999997"/>
    <x v="55"/>
    <d v="2025-02-27T00:00:00"/>
    <x v="1"/>
    <x v="1"/>
    <x v="0"/>
    <x v="0"/>
    <x v="3"/>
    <x v="1"/>
    <x v="8"/>
    <x v="1"/>
  </r>
  <r>
    <x v="1511"/>
    <x v="17"/>
    <x v="13"/>
    <n v="71.900000000000006"/>
    <n v="431.40000000000003"/>
    <x v="55"/>
    <d v="2025-02-26T00:00:00"/>
    <x v="2"/>
    <x v="2"/>
    <x v="0"/>
    <x v="0"/>
    <x v="3"/>
    <x v="3"/>
    <x v="8"/>
    <x v="2"/>
  </r>
  <r>
    <x v="1512"/>
    <x v="8"/>
    <x v="1"/>
    <n v="26.3"/>
    <n v="52.6"/>
    <x v="56"/>
    <d v="2025-02-28T00:00:00"/>
    <x v="2"/>
    <x v="0"/>
    <x v="1"/>
    <x v="0"/>
    <x v="3"/>
    <x v="1"/>
    <x v="8"/>
    <x v="2"/>
  </r>
  <r>
    <x v="1513"/>
    <x v="6"/>
    <x v="12"/>
    <n v="52.6"/>
    <n v="210.4"/>
    <x v="56"/>
    <d v="2025-02-28T00:00:00"/>
    <x v="2"/>
    <x v="2"/>
    <x v="1"/>
    <x v="0"/>
    <x v="3"/>
    <x v="1"/>
    <x v="8"/>
    <x v="2"/>
  </r>
  <r>
    <x v="1514"/>
    <x v="10"/>
    <x v="0"/>
    <n v="32.700000000000003"/>
    <n v="32.700000000000003"/>
    <x v="56"/>
    <d v="2025-03-05T00:00:00"/>
    <x v="2"/>
    <x v="0"/>
    <x v="2"/>
    <x v="0"/>
    <x v="3"/>
    <x v="6"/>
    <x v="8"/>
    <x v="2"/>
  </r>
  <r>
    <x v="1515"/>
    <x v="5"/>
    <x v="12"/>
    <n v="38.9"/>
    <n v="155.6"/>
    <x v="56"/>
    <d v="2025-02-27T00:00:00"/>
    <x v="2"/>
    <x v="0"/>
    <x v="0"/>
    <x v="0"/>
    <x v="3"/>
    <x v="3"/>
    <x v="8"/>
    <x v="2"/>
  </r>
  <r>
    <x v="1516"/>
    <x v="9"/>
    <x v="9"/>
    <n v="35"/>
    <n v="175"/>
    <x v="56"/>
    <d v="2025-02-28T00:00:00"/>
    <x v="1"/>
    <x v="0"/>
    <x v="0"/>
    <x v="0"/>
    <x v="3"/>
    <x v="1"/>
    <x v="8"/>
    <x v="1"/>
  </r>
  <r>
    <x v="1517"/>
    <x v="2"/>
    <x v="1"/>
    <n v="121"/>
    <n v="242"/>
    <x v="56"/>
    <d v="2025-02-27T00:00:00"/>
    <x v="2"/>
    <x v="1"/>
    <x v="1"/>
    <x v="0"/>
    <x v="3"/>
    <x v="3"/>
    <x v="8"/>
    <x v="2"/>
  </r>
  <r>
    <x v="1518"/>
    <x v="6"/>
    <x v="2"/>
    <n v="65.099999999999994"/>
    <n v="195.29999999999998"/>
    <x v="56"/>
    <d v="2025-03-02T00:00:00"/>
    <x v="1"/>
    <x v="2"/>
    <x v="0"/>
    <x v="0"/>
    <x v="36"/>
    <x v="5"/>
    <x v="8"/>
    <x v="1"/>
  </r>
  <r>
    <x v="1519"/>
    <x v="1"/>
    <x v="38"/>
    <n v="63.8"/>
    <n v="1339.8"/>
    <x v="56"/>
    <d v="2025-02-28T00:00:00"/>
    <x v="2"/>
    <x v="0"/>
    <x v="0"/>
    <x v="0"/>
    <x v="8"/>
    <x v="1"/>
    <x v="8"/>
    <x v="2"/>
  </r>
  <r>
    <x v="1520"/>
    <x v="7"/>
    <x v="0"/>
    <n v="77.7"/>
    <n v="77.7"/>
    <x v="56"/>
    <d v="2025-02-28T00:00:00"/>
    <x v="1"/>
    <x v="0"/>
    <x v="0"/>
    <x v="0"/>
    <x v="8"/>
    <x v="1"/>
    <x v="8"/>
    <x v="1"/>
  </r>
  <r>
    <x v="1521"/>
    <x v="5"/>
    <x v="12"/>
    <n v="60.3"/>
    <n v="241.2"/>
    <x v="56"/>
    <d v="2025-02-26T00:00:00"/>
    <x v="1"/>
    <x v="0"/>
    <x v="2"/>
    <x v="0"/>
    <x v="8"/>
    <x v="7"/>
    <x v="8"/>
    <x v="1"/>
  </r>
  <r>
    <x v="1522"/>
    <x v="5"/>
    <x v="1"/>
    <n v="124.1"/>
    <n v="248.2"/>
    <x v="56"/>
    <d v="2025-03-01T00:00:00"/>
    <x v="2"/>
    <x v="0"/>
    <x v="2"/>
    <x v="0"/>
    <x v="8"/>
    <x v="2"/>
    <x v="8"/>
    <x v="2"/>
  </r>
  <r>
    <x v="1523"/>
    <x v="16"/>
    <x v="3"/>
    <n v="66"/>
    <n v="462"/>
    <x v="56"/>
    <d v="2025-02-26T00:00:00"/>
    <x v="0"/>
    <x v="3"/>
    <x v="0"/>
    <x v="0"/>
    <x v="17"/>
    <x v="7"/>
    <x v="8"/>
    <x v="0"/>
  </r>
  <r>
    <x v="1524"/>
    <x v="2"/>
    <x v="42"/>
    <n v="118.2"/>
    <n v="7446.6"/>
    <x v="56"/>
    <d v="2025-03-03T00:00:00"/>
    <x v="0"/>
    <x v="0"/>
    <x v="0"/>
    <x v="0"/>
    <x v="17"/>
    <x v="0"/>
    <x v="8"/>
    <x v="0"/>
  </r>
  <r>
    <x v="1525"/>
    <x v="5"/>
    <x v="9"/>
    <n v="64.3"/>
    <n v="321.5"/>
    <x v="56"/>
    <d v="2025-02-27T00:00:00"/>
    <x v="1"/>
    <x v="4"/>
    <x v="4"/>
    <x v="0"/>
    <x v="26"/>
    <x v="3"/>
    <x v="8"/>
    <x v="1"/>
  </r>
  <r>
    <x v="1526"/>
    <x v="1"/>
    <x v="1"/>
    <n v="54.8"/>
    <n v="109.6"/>
    <x v="56"/>
    <d v="2025-02-26T00:00:00"/>
    <x v="1"/>
    <x v="0"/>
    <x v="1"/>
    <x v="0"/>
    <x v="26"/>
    <x v="7"/>
    <x v="8"/>
    <x v="1"/>
  </r>
  <r>
    <x v="1527"/>
    <x v="7"/>
    <x v="1"/>
    <n v="78.599999999999994"/>
    <n v="157.19999999999999"/>
    <x v="56"/>
    <d v="2025-02-27T00:00:00"/>
    <x v="1"/>
    <x v="0"/>
    <x v="2"/>
    <x v="0"/>
    <x v="9"/>
    <x v="3"/>
    <x v="8"/>
    <x v="1"/>
  </r>
  <r>
    <x v="1528"/>
    <x v="2"/>
    <x v="9"/>
    <n v="158.5"/>
    <n v="792.5"/>
    <x v="56"/>
    <d v="2025-02-28T00:00:00"/>
    <x v="0"/>
    <x v="2"/>
    <x v="2"/>
    <x v="0"/>
    <x v="9"/>
    <x v="1"/>
    <x v="8"/>
    <x v="0"/>
  </r>
  <r>
    <x v="1529"/>
    <x v="4"/>
    <x v="7"/>
    <n v="23.5"/>
    <n v="235"/>
    <x v="56"/>
    <d v="2025-03-01T00:00:00"/>
    <x v="1"/>
    <x v="0"/>
    <x v="4"/>
    <x v="0"/>
    <x v="10"/>
    <x v="2"/>
    <x v="8"/>
    <x v="1"/>
  </r>
  <r>
    <x v="1530"/>
    <x v="5"/>
    <x v="1"/>
    <n v="32.1"/>
    <n v="64.2"/>
    <x v="56"/>
    <d v="2025-02-28T00:00:00"/>
    <x v="0"/>
    <x v="3"/>
    <x v="0"/>
    <x v="0"/>
    <x v="10"/>
    <x v="1"/>
    <x v="8"/>
    <x v="0"/>
  </r>
  <r>
    <x v="1531"/>
    <x v="17"/>
    <x v="12"/>
    <n v="71.900000000000006"/>
    <n v="287.60000000000002"/>
    <x v="56"/>
    <d v="2025-02-26T00:00:00"/>
    <x v="1"/>
    <x v="2"/>
    <x v="0"/>
    <x v="0"/>
    <x v="19"/>
    <x v="7"/>
    <x v="8"/>
    <x v="1"/>
  </r>
  <r>
    <x v="1532"/>
    <x v="4"/>
    <x v="13"/>
    <n v="22.3"/>
    <n v="133.80000000000001"/>
    <x v="56"/>
    <d v="2025-02-27T00:00:00"/>
    <x v="0"/>
    <x v="3"/>
    <x v="2"/>
    <x v="0"/>
    <x v="13"/>
    <x v="3"/>
    <x v="8"/>
    <x v="0"/>
  </r>
  <r>
    <x v="1533"/>
    <x v="11"/>
    <x v="1"/>
    <n v="29.5"/>
    <n v="59"/>
    <x v="56"/>
    <d v="2025-02-27T00:00:00"/>
    <x v="2"/>
    <x v="0"/>
    <x v="2"/>
    <x v="0"/>
    <x v="13"/>
    <x v="3"/>
    <x v="8"/>
    <x v="2"/>
  </r>
  <r>
    <x v="1534"/>
    <x v="6"/>
    <x v="12"/>
    <n v="41.9"/>
    <n v="167.6"/>
    <x v="56"/>
    <d v="2025-03-02T00:00:00"/>
    <x v="2"/>
    <x v="0"/>
    <x v="1"/>
    <x v="0"/>
    <x v="21"/>
    <x v="5"/>
    <x v="8"/>
    <x v="2"/>
  </r>
  <r>
    <x v="1535"/>
    <x v="6"/>
    <x v="2"/>
    <n v="107.8"/>
    <n v="323.39999999999998"/>
    <x v="56"/>
    <d v="2025-02-27T00:00:00"/>
    <x v="1"/>
    <x v="1"/>
    <x v="2"/>
    <x v="0"/>
    <x v="46"/>
    <x v="3"/>
    <x v="8"/>
    <x v="1"/>
  </r>
  <r>
    <x v="1536"/>
    <x v="4"/>
    <x v="9"/>
    <n v="18.100000000000001"/>
    <n v="90.5"/>
    <x v="56"/>
    <d v="2025-03-01T00:00:00"/>
    <x v="1"/>
    <x v="0"/>
    <x v="2"/>
    <x v="0"/>
    <x v="2"/>
    <x v="2"/>
    <x v="8"/>
    <x v="1"/>
  </r>
  <r>
    <x v="1537"/>
    <x v="12"/>
    <x v="11"/>
    <n v="79.8"/>
    <n v="718.19999999999993"/>
    <x v="56"/>
    <d v="2025-02-27T00:00:00"/>
    <x v="2"/>
    <x v="1"/>
    <x v="1"/>
    <x v="0"/>
    <x v="22"/>
    <x v="3"/>
    <x v="8"/>
    <x v="2"/>
  </r>
  <r>
    <x v="1538"/>
    <x v="0"/>
    <x v="2"/>
    <n v="22.3"/>
    <n v="66.900000000000006"/>
    <x v="56"/>
    <d v="2025-03-01T00:00:00"/>
    <x v="2"/>
    <x v="0"/>
    <x v="2"/>
    <x v="0"/>
    <x v="22"/>
    <x v="2"/>
    <x v="8"/>
    <x v="2"/>
  </r>
  <r>
    <x v="1539"/>
    <x v="8"/>
    <x v="0"/>
    <n v="22.9"/>
    <n v="22.9"/>
    <x v="56"/>
    <d v="2025-02-26T00:00:00"/>
    <x v="2"/>
    <x v="1"/>
    <x v="0"/>
    <x v="0"/>
    <x v="22"/>
    <x v="7"/>
    <x v="8"/>
    <x v="2"/>
  </r>
  <r>
    <x v="1540"/>
    <x v="0"/>
    <x v="2"/>
    <n v="16.2"/>
    <n v="48.599999999999994"/>
    <x v="57"/>
    <d v="2025-02-27T00:00:00"/>
    <x v="1"/>
    <x v="4"/>
    <x v="2"/>
    <x v="0"/>
    <x v="3"/>
    <x v="7"/>
    <x v="8"/>
    <x v="1"/>
  </r>
  <r>
    <x v="1541"/>
    <x v="10"/>
    <x v="12"/>
    <n v="59.5"/>
    <n v="238"/>
    <x v="57"/>
    <d v="2025-02-28T00:00:00"/>
    <x v="1"/>
    <x v="1"/>
    <x v="2"/>
    <x v="0"/>
    <x v="3"/>
    <x v="3"/>
    <x v="8"/>
    <x v="1"/>
  </r>
  <r>
    <x v="1542"/>
    <x v="18"/>
    <x v="9"/>
    <n v="26.2"/>
    <n v="131"/>
    <x v="57"/>
    <d v="2025-03-02T00:00:00"/>
    <x v="1"/>
    <x v="3"/>
    <x v="4"/>
    <x v="0"/>
    <x v="3"/>
    <x v="2"/>
    <x v="8"/>
    <x v="1"/>
  </r>
  <r>
    <x v="1543"/>
    <x v="3"/>
    <x v="0"/>
    <n v="44.2"/>
    <n v="44.2"/>
    <x v="57"/>
    <d v="2025-03-02T00:00:00"/>
    <x v="2"/>
    <x v="1"/>
    <x v="0"/>
    <x v="0"/>
    <x v="3"/>
    <x v="2"/>
    <x v="8"/>
    <x v="2"/>
  </r>
  <r>
    <x v="1544"/>
    <x v="9"/>
    <x v="1"/>
    <n v="59.2"/>
    <n v="118.4"/>
    <x v="57"/>
    <d v="2025-02-27T00:00:00"/>
    <x v="2"/>
    <x v="1"/>
    <x v="4"/>
    <x v="0"/>
    <x v="3"/>
    <x v="7"/>
    <x v="8"/>
    <x v="2"/>
  </r>
  <r>
    <x v="1545"/>
    <x v="15"/>
    <x v="12"/>
    <n v="41.5"/>
    <n v="166"/>
    <x v="57"/>
    <d v="2025-03-01T00:00:00"/>
    <x v="2"/>
    <x v="0"/>
    <x v="0"/>
    <x v="0"/>
    <x v="16"/>
    <x v="1"/>
    <x v="8"/>
    <x v="2"/>
  </r>
  <r>
    <x v="1546"/>
    <x v="6"/>
    <x v="4"/>
    <n v="67.099999999999994"/>
    <n v="805.19999999999993"/>
    <x v="57"/>
    <d v="2025-03-13T00:00:00"/>
    <x v="2"/>
    <x v="0"/>
    <x v="2"/>
    <x v="0"/>
    <x v="23"/>
    <x v="12"/>
    <x v="8"/>
    <x v="2"/>
  </r>
  <r>
    <x v="1547"/>
    <x v="8"/>
    <x v="1"/>
    <n v="28.7"/>
    <n v="57.4"/>
    <x v="57"/>
    <d v="2025-03-03T00:00:00"/>
    <x v="2"/>
    <x v="1"/>
    <x v="0"/>
    <x v="0"/>
    <x v="6"/>
    <x v="5"/>
    <x v="8"/>
    <x v="2"/>
  </r>
  <r>
    <x v="1548"/>
    <x v="2"/>
    <x v="12"/>
    <n v="132.1"/>
    <n v="528.4"/>
    <x v="57"/>
    <d v="2025-02-28T00:00:00"/>
    <x v="2"/>
    <x v="0"/>
    <x v="1"/>
    <x v="0"/>
    <x v="6"/>
    <x v="3"/>
    <x v="8"/>
    <x v="2"/>
  </r>
  <r>
    <x v="1549"/>
    <x v="18"/>
    <x v="1"/>
    <n v="47"/>
    <n v="94"/>
    <x v="57"/>
    <d v="2025-03-01T00:00:00"/>
    <x v="1"/>
    <x v="4"/>
    <x v="0"/>
    <x v="0"/>
    <x v="8"/>
    <x v="1"/>
    <x v="8"/>
    <x v="1"/>
  </r>
  <r>
    <x v="1550"/>
    <x v="8"/>
    <x v="1"/>
    <n v="41.6"/>
    <n v="83.2"/>
    <x v="57"/>
    <d v="2025-03-03T00:00:00"/>
    <x v="1"/>
    <x v="1"/>
    <x v="2"/>
    <x v="0"/>
    <x v="8"/>
    <x v="5"/>
    <x v="8"/>
    <x v="1"/>
  </r>
  <r>
    <x v="1551"/>
    <x v="8"/>
    <x v="43"/>
    <n v="17.3"/>
    <n v="657.4"/>
    <x v="57"/>
    <d v="2025-03-01T00:00:00"/>
    <x v="1"/>
    <x v="2"/>
    <x v="2"/>
    <x v="0"/>
    <x v="8"/>
    <x v="1"/>
    <x v="8"/>
    <x v="1"/>
  </r>
  <r>
    <x v="1552"/>
    <x v="13"/>
    <x v="2"/>
    <n v="41.8"/>
    <n v="125.39999999999999"/>
    <x v="57"/>
    <d v="2025-03-02T00:00:00"/>
    <x v="1"/>
    <x v="0"/>
    <x v="2"/>
    <x v="0"/>
    <x v="8"/>
    <x v="2"/>
    <x v="8"/>
    <x v="1"/>
  </r>
  <r>
    <x v="1553"/>
    <x v="10"/>
    <x v="0"/>
    <n v="24"/>
    <n v="24"/>
    <x v="57"/>
    <d v="2025-02-28T00:00:00"/>
    <x v="2"/>
    <x v="0"/>
    <x v="0"/>
    <x v="0"/>
    <x v="17"/>
    <x v="3"/>
    <x v="8"/>
    <x v="2"/>
  </r>
  <r>
    <x v="1554"/>
    <x v="14"/>
    <x v="11"/>
    <n v="18.5"/>
    <n v="166.5"/>
    <x v="57"/>
    <d v="2025-03-01T00:00:00"/>
    <x v="2"/>
    <x v="0"/>
    <x v="0"/>
    <x v="0"/>
    <x v="9"/>
    <x v="1"/>
    <x v="8"/>
    <x v="2"/>
  </r>
  <r>
    <x v="1555"/>
    <x v="3"/>
    <x v="4"/>
    <n v="66.7"/>
    <n v="800.40000000000009"/>
    <x v="57"/>
    <d v="2025-03-02T00:00:00"/>
    <x v="0"/>
    <x v="0"/>
    <x v="2"/>
    <x v="0"/>
    <x v="11"/>
    <x v="2"/>
    <x v="8"/>
    <x v="0"/>
  </r>
  <r>
    <x v="1556"/>
    <x v="1"/>
    <x v="12"/>
    <n v="33.1"/>
    <n v="132.4"/>
    <x v="57"/>
    <d v="2025-03-04T00:00:00"/>
    <x v="1"/>
    <x v="3"/>
    <x v="0"/>
    <x v="0"/>
    <x v="11"/>
    <x v="0"/>
    <x v="8"/>
    <x v="1"/>
  </r>
  <r>
    <x v="1557"/>
    <x v="19"/>
    <x v="11"/>
    <n v="42.1"/>
    <n v="378.90000000000003"/>
    <x v="57"/>
    <d v="2025-03-10T00:00:00"/>
    <x v="1"/>
    <x v="1"/>
    <x v="0"/>
    <x v="0"/>
    <x v="18"/>
    <x v="11"/>
    <x v="8"/>
    <x v="1"/>
  </r>
  <r>
    <x v="1558"/>
    <x v="18"/>
    <x v="3"/>
    <n v="58.7"/>
    <n v="410.90000000000003"/>
    <x v="57"/>
    <d v="2025-02-27T00:00:00"/>
    <x v="3"/>
    <x v="3"/>
    <x v="0"/>
    <x v="0"/>
    <x v="31"/>
    <x v="7"/>
    <x v="8"/>
    <x v="3"/>
  </r>
  <r>
    <x v="1559"/>
    <x v="6"/>
    <x v="12"/>
    <n v="54"/>
    <n v="216"/>
    <x v="57"/>
    <d v="2025-03-01T00:00:00"/>
    <x v="2"/>
    <x v="1"/>
    <x v="0"/>
    <x v="0"/>
    <x v="1"/>
    <x v="1"/>
    <x v="8"/>
    <x v="2"/>
  </r>
  <r>
    <x v="1560"/>
    <x v="8"/>
    <x v="0"/>
    <n v="52.1"/>
    <n v="52.1"/>
    <x v="57"/>
    <d v="2025-02-28T00:00:00"/>
    <x v="2"/>
    <x v="2"/>
    <x v="2"/>
    <x v="0"/>
    <x v="2"/>
    <x v="3"/>
    <x v="8"/>
    <x v="2"/>
  </r>
  <r>
    <x v="1561"/>
    <x v="19"/>
    <x v="1"/>
    <n v="27"/>
    <n v="54"/>
    <x v="57"/>
    <d v="2025-03-02T00:00:00"/>
    <x v="3"/>
    <x v="2"/>
    <x v="0"/>
    <x v="0"/>
    <x v="22"/>
    <x v="2"/>
    <x v="8"/>
    <x v="3"/>
  </r>
  <r>
    <x v="1562"/>
    <x v="12"/>
    <x v="7"/>
    <n v="31"/>
    <n v="310"/>
    <x v="58"/>
    <d v="2025-03-01T00:00:00"/>
    <x v="2"/>
    <x v="3"/>
    <x v="2"/>
    <x v="0"/>
    <x v="22"/>
    <x v="3"/>
    <x v="8"/>
    <x v="2"/>
  </r>
  <r>
    <x v="1563"/>
    <x v="10"/>
    <x v="1"/>
    <n v="46.7"/>
    <n v="93.4"/>
    <x v="58"/>
    <d v="2025-02-28T00:00:00"/>
    <x v="2"/>
    <x v="0"/>
    <x v="0"/>
    <x v="0"/>
    <x v="34"/>
    <x v="7"/>
    <x v="8"/>
    <x v="2"/>
  </r>
  <r>
    <x v="1564"/>
    <x v="6"/>
    <x v="0"/>
    <n v="144.69999999999999"/>
    <n v="144.69999999999999"/>
    <x v="58"/>
    <d v="2025-03-03T00:00:00"/>
    <x v="1"/>
    <x v="0"/>
    <x v="2"/>
    <x v="0"/>
    <x v="3"/>
    <x v="2"/>
    <x v="8"/>
    <x v="1"/>
  </r>
  <r>
    <x v="1565"/>
    <x v="2"/>
    <x v="11"/>
    <n v="90.9"/>
    <n v="818.1"/>
    <x v="58"/>
    <d v="2025-03-01T00:00:00"/>
    <x v="1"/>
    <x v="0"/>
    <x v="2"/>
    <x v="0"/>
    <x v="3"/>
    <x v="3"/>
    <x v="8"/>
    <x v="1"/>
  </r>
  <r>
    <x v="1566"/>
    <x v="1"/>
    <x v="1"/>
    <n v="75.8"/>
    <n v="151.6"/>
    <x v="58"/>
    <d v="2025-03-01T00:00:00"/>
    <x v="2"/>
    <x v="2"/>
    <x v="1"/>
    <x v="0"/>
    <x v="3"/>
    <x v="3"/>
    <x v="8"/>
    <x v="2"/>
  </r>
  <r>
    <x v="1567"/>
    <x v="7"/>
    <x v="9"/>
    <n v="57.9"/>
    <n v="289.5"/>
    <x v="58"/>
    <d v="2025-03-02T00:00:00"/>
    <x v="1"/>
    <x v="2"/>
    <x v="2"/>
    <x v="0"/>
    <x v="3"/>
    <x v="1"/>
    <x v="8"/>
    <x v="1"/>
  </r>
  <r>
    <x v="1568"/>
    <x v="8"/>
    <x v="9"/>
    <n v="44.8"/>
    <n v="224"/>
    <x v="58"/>
    <d v="2025-03-01T00:00:00"/>
    <x v="2"/>
    <x v="3"/>
    <x v="2"/>
    <x v="0"/>
    <x v="3"/>
    <x v="3"/>
    <x v="8"/>
    <x v="2"/>
  </r>
  <r>
    <x v="1569"/>
    <x v="9"/>
    <x v="2"/>
    <n v="44.2"/>
    <n v="132.60000000000002"/>
    <x v="58"/>
    <d v="2025-03-04T00:00:00"/>
    <x v="1"/>
    <x v="2"/>
    <x v="2"/>
    <x v="0"/>
    <x v="3"/>
    <x v="5"/>
    <x v="8"/>
    <x v="1"/>
  </r>
  <r>
    <x v="1570"/>
    <x v="5"/>
    <x v="9"/>
    <n v="53.5"/>
    <n v="267.5"/>
    <x v="58"/>
    <d v="2025-03-02T00:00:00"/>
    <x v="1"/>
    <x v="0"/>
    <x v="0"/>
    <x v="0"/>
    <x v="37"/>
    <x v="1"/>
    <x v="8"/>
    <x v="1"/>
  </r>
  <r>
    <x v="1571"/>
    <x v="6"/>
    <x v="1"/>
    <n v="72.2"/>
    <n v="144.4"/>
    <x v="58"/>
    <d v="2025-03-01T00:00:00"/>
    <x v="1"/>
    <x v="0"/>
    <x v="2"/>
    <x v="0"/>
    <x v="25"/>
    <x v="3"/>
    <x v="8"/>
    <x v="1"/>
  </r>
  <r>
    <x v="1572"/>
    <x v="6"/>
    <x v="12"/>
    <n v="62.4"/>
    <n v="249.6"/>
    <x v="58"/>
    <d v="2025-03-03T00:00:00"/>
    <x v="2"/>
    <x v="0"/>
    <x v="1"/>
    <x v="0"/>
    <x v="23"/>
    <x v="2"/>
    <x v="8"/>
    <x v="2"/>
  </r>
  <r>
    <x v="1573"/>
    <x v="10"/>
    <x v="9"/>
    <n v="24.7"/>
    <n v="123.5"/>
    <x v="58"/>
    <d v="2025-03-01T00:00:00"/>
    <x v="2"/>
    <x v="0"/>
    <x v="0"/>
    <x v="0"/>
    <x v="6"/>
    <x v="3"/>
    <x v="8"/>
    <x v="2"/>
  </r>
  <r>
    <x v="1574"/>
    <x v="1"/>
    <x v="9"/>
    <n v="61.7"/>
    <n v="308.5"/>
    <x v="58"/>
    <d v="2025-03-02T00:00:00"/>
    <x v="2"/>
    <x v="2"/>
    <x v="0"/>
    <x v="0"/>
    <x v="8"/>
    <x v="1"/>
    <x v="8"/>
    <x v="2"/>
  </r>
  <r>
    <x v="1575"/>
    <x v="8"/>
    <x v="9"/>
    <n v="18.2"/>
    <n v="91"/>
    <x v="58"/>
    <d v="2025-03-02T00:00:00"/>
    <x v="2"/>
    <x v="3"/>
    <x v="0"/>
    <x v="0"/>
    <x v="8"/>
    <x v="1"/>
    <x v="8"/>
    <x v="2"/>
  </r>
  <r>
    <x v="1576"/>
    <x v="10"/>
    <x v="12"/>
    <n v="37.200000000000003"/>
    <n v="148.80000000000001"/>
    <x v="58"/>
    <d v="2025-03-06T00:00:00"/>
    <x v="2"/>
    <x v="0"/>
    <x v="0"/>
    <x v="0"/>
    <x v="8"/>
    <x v="4"/>
    <x v="8"/>
    <x v="2"/>
  </r>
  <r>
    <x v="1577"/>
    <x v="9"/>
    <x v="2"/>
    <n v="53.5"/>
    <n v="160.5"/>
    <x v="58"/>
    <d v="2025-03-02T00:00:00"/>
    <x v="2"/>
    <x v="1"/>
    <x v="2"/>
    <x v="0"/>
    <x v="9"/>
    <x v="1"/>
    <x v="8"/>
    <x v="2"/>
  </r>
  <r>
    <x v="1578"/>
    <x v="8"/>
    <x v="2"/>
    <n v="43.6"/>
    <n v="130.80000000000001"/>
    <x v="58"/>
    <d v="2025-02-28T00:00:00"/>
    <x v="2"/>
    <x v="0"/>
    <x v="0"/>
    <x v="0"/>
    <x v="9"/>
    <x v="7"/>
    <x v="8"/>
    <x v="2"/>
  </r>
  <r>
    <x v="1579"/>
    <x v="1"/>
    <x v="7"/>
    <n v="135"/>
    <n v="1350"/>
    <x v="58"/>
    <d v="2025-03-02T00:00:00"/>
    <x v="2"/>
    <x v="0"/>
    <x v="2"/>
    <x v="0"/>
    <x v="9"/>
    <x v="1"/>
    <x v="8"/>
    <x v="2"/>
  </r>
  <r>
    <x v="1580"/>
    <x v="8"/>
    <x v="9"/>
    <n v="38.5"/>
    <n v="192.5"/>
    <x v="58"/>
    <d v="2025-02-28T00:00:00"/>
    <x v="1"/>
    <x v="4"/>
    <x v="2"/>
    <x v="0"/>
    <x v="10"/>
    <x v="7"/>
    <x v="8"/>
    <x v="1"/>
  </r>
  <r>
    <x v="1581"/>
    <x v="9"/>
    <x v="1"/>
    <n v="24"/>
    <n v="48"/>
    <x v="58"/>
    <d v="2025-03-05T00:00:00"/>
    <x v="2"/>
    <x v="0"/>
    <x v="0"/>
    <x v="0"/>
    <x v="11"/>
    <x v="0"/>
    <x v="8"/>
    <x v="2"/>
  </r>
  <r>
    <x v="1582"/>
    <x v="4"/>
    <x v="2"/>
    <n v="28.2"/>
    <n v="84.6"/>
    <x v="58"/>
    <d v="2025-03-02T00:00:00"/>
    <x v="1"/>
    <x v="0"/>
    <x v="3"/>
    <x v="0"/>
    <x v="18"/>
    <x v="1"/>
    <x v="8"/>
    <x v="1"/>
  </r>
  <r>
    <x v="1583"/>
    <x v="7"/>
    <x v="2"/>
    <n v="37.4"/>
    <n v="112.19999999999999"/>
    <x v="58"/>
    <d v="2025-03-01T00:00:00"/>
    <x v="2"/>
    <x v="3"/>
    <x v="0"/>
    <x v="0"/>
    <x v="1"/>
    <x v="3"/>
    <x v="8"/>
    <x v="2"/>
  </r>
  <r>
    <x v="1584"/>
    <x v="6"/>
    <x v="2"/>
    <n v="53.5"/>
    <n v="160.5"/>
    <x v="58"/>
    <d v="2025-03-03T00:00:00"/>
    <x v="0"/>
    <x v="4"/>
    <x v="4"/>
    <x v="0"/>
    <x v="1"/>
    <x v="2"/>
    <x v="8"/>
    <x v="0"/>
  </r>
  <r>
    <x v="1585"/>
    <x v="11"/>
    <x v="9"/>
    <n v="36.200000000000003"/>
    <n v="181"/>
    <x v="58"/>
    <d v="2025-03-01T00:00:00"/>
    <x v="1"/>
    <x v="1"/>
    <x v="2"/>
    <x v="0"/>
    <x v="33"/>
    <x v="3"/>
    <x v="8"/>
    <x v="1"/>
  </r>
  <r>
    <x v="1586"/>
    <x v="0"/>
    <x v="8"/>
    <n v="31.9"/>
    <n v="255.2"/>
    <x v="58"/>
    <d v="2025-03-01T00:00:00"/>
    <x v="2"/>
    <x v="4"/>
    <x v="0"/>
    <x v="0"/>
    <x v="3"/>
    <x v="3"/>
    <x v="8"/>
    <x v="2"/>
  </r>
  <r>
    <x v="1587"/>
    <x v="8"/>
    <x v="2"/>
    <n v="21.3"/>
    <n v="63.900000000000006"/>
    <x v="58"/>
    <d v="2025-03-01T00:00:00"/>
    <x v="1"/>
    <x v="0"/>
    <x v="2"/>
    <x v="0"/>
    <x v="3"/>
    <x v="3"/>
    <x v="8"/>
    <x v="1"/>
  </r>
  <r>
    <x v="1588"/>
    <x v="8"/>
    <x v="0"/>
    <n v="36.299999999999997"/>
    <n v="36.299999999999997"/>
    <x v="58"/>
    <d v="2025-03-02T00:00:00"/>
    <x v="3"/>
    <x v="4"/>
    <x v="0"/>
    <x v="0"/>
    <x v="3"/>
    <x v="1"/>
    <x v="8"/>
    <x v="3"/>
  </r>
  <r>
    <x v="1589"/>
    <x v="6"/>
    <x v="2"/>
    <n v="110.5"/>
    <n v="331.5"/>
    <x v="58"/>
    <d v="2025-03-01T00:00:00"/>
    <x v="2"/>
    <x v="0"/>
    <x v="3"/>
    <x v="0"/>
    <x v="3"/>
    <x v="3"/>
    <x v="8"/>
    <x v="2"/>
  </r>
  <r>
    <x v="1590"/>
    <x v="10"/>
    <x v="3"/>
    <n v="32.6"/>
    <n v="228.20000000000002"/>
    <x v="58"/>
    <d v="2025-03-02T00:00:00"/>
    <x v="2"/>
    <x v="0"/>
    <x v="1"/>
    <x v="0"/>
    <x v="3"/>
    <x v="1"/>
    <x v="8"/>
    <x v="2"/>
  </r>
  <r>
    <x v="1591"/>
    <x v="5"/>
    <x v="2"/>
    <n v="55.6"/>
    <n v="166.8"/>
    <x v="59"/>
    <d v="2025-03-14T00:00:00"/>
    <x v="2"/>
    <x v="0"/>
    <x v="0"/>
    <x v="0"/>
    <x v="3"/>
    <x v="10"/>
    <x v="8"/>
    <x v="2"/>
  </r>
  <r>
    <x v="1592"/>
    <x v="1"/>
    <x v="12"/>
    <n v="38"/>
    <n v="152"/>
    <x v="59"/>
    <d v="2025-03-02T00:00:00"/>
    <x v="2"/>
    <x v="3"/>
    <x v="2"/>
    <x v="0"/>
    <x v="5"/>
    <x v="3"/>
    <x v="8"/>
    <x v="2"/>
  </r>
  <r>
    <x v="1593"/>
    <x v="10"/>
    <x v="1"/>
    <n v="51.8"/>
    <n v="103.6"/>
    <x v="59"/>
    <d v="2025-03-07T00:00:00"/>
    <x v="1"/>
    <x v="1"/>
    <x v="4"/>
    <x v="0"/>
    <x v="6"/>
    <x v="4"/>
    <x v="8"/>
    <x v="1"/>
  </r>
  <r>
    <x v="1594"/>
    <x v="11"/>
    <x v="8"/>
    <n v="28.7"/>
    <n v="229.6"/>
    <x v="59"/>
    <d v="2025-03-06T00:00:00"/>
    <x v="2"/>
    <x v="0"/>
    <x v="0"/>
    <x v="0"/>
    <x v="6"/>
    <x v="0"/>
    <x v="8"/>
    <x v="2"/>
  </r>
  <r>
    <x v="1595"/>
    <x v="6"/>
    <x v="4"/>
    <n v="52.2"/>
    <n v="626.40000000000009"/>
    <x v="59"/>
    <d v="2025-03-01T00:00:00"/>
    <x v="1"/>
    <x v="0"/>
    <x v="1"/>
    <x v="0"/>
    <x v="6"/>
    <x v="7"/>
    <x v="8"/>
    <x v="1"/>
  </r>
  <r>
    <x v="1596"/>
    <x v="1"/>
    <x v="1"/>
    <n v="68.2"/>
    <n v="136.4"/>
    <x v="59"/>
    <d v="2025-03-02T00:00:00"/>
    <x v="0"/>
    <x v="2"/>
    <x v="0"/>
    <x v="0"/>
    <x v="7"/>
    <x v="3"/>
    <x v="8"/>
    <x v="0"/>
  </r>
  <r>
    <x v="1597"/>
    <x v="0"/>
    <x v="2"/>
    <n v="34"/>
    <n v="102"/>
    <x v="59"/>
    <d v="2025-03-05T00:00:00"/>
    <x v="2"/>
    <x v="0"/>
    <x v="0"/>
    <x v="0"/>
    <x v="8"/>
    <x v="5"/>
    <x v="8"/>
    <x v="2"/>
  </r>
  <r>
    <x v="1598"/>
    <x v="8"/>
    <x v="2"/>
    <n v="19.100000000000001"/>
    <n v="57.300000000000004"/>
    <x v="59"/>
    <d v="2025-03-02T00:00:00"/>
    <x v="2"/>
    <x v="4"/>
    <x v="0"/>
    <x v="0"/>
    <x v="8"/>
    <x v="3"/>
    <x v="8"/>
    <x v="2"/>
  </r>
  <r>
    <x v="1599"/>
    <x v="5"/>
    <x v="8"/>
    <n v="34"/>
    <n v="272"/>
    <x v="59"/>
    <d v="2025-03-09T00:00:00"/>
    <x v="2"/>
    <x v="4"/>
    <x v="0"/>
    <x v="0"/>
    <x v="8"/>
    <x v="9"/>
    <x v="8"/>
    <x v="2"/>
  </r>
  <r>
    <x v="1600"/>
    <x v="12"/>
    <x v="1"/>
    <n v="109.1"/>
    <n v="218.2"/>
    <x v="59"/>
    <d v="2025-03-03T00:00:00"/>
    <x v="1"/>
    <x v="0"/>
    <x v="2"/>
    <x v="0"/>
    <x v="8"/>
    <x v="1"/>
    <x v="8"/>
    <x v="1"/>
  </r>
  <r>
    <x v="1601"/>
    <x v="18"/>
    <x v="1"/>
    <n v="64.8"/>
    <n v="129.6"/>
    <x v="59"/>
    <d v="2025-03-03T00:00:00"/>
    <x v="1"/>
    <x v="0"/>
    <x v="2"/>
    <x v="0"/>
    <x v="8"/>
    <x v="1"/>
    <x v="8"/>
    <x v="1"/>
  </r>
  <r>
    <x v="1602"/>
    <x v="10"/>
    <x v="1"/>
    <n v="21.1"/>
    <n v="42.2"/>
    <x v="59"/>
    <d v="2025-03-01T00:00:00"/>
    <x v="2"/>
    <x v="1"/>
    <x v="0"/>
    <x v="0"/>
    <x v="11"/>
    <x v="7"/>
    <x v="8"/>
    <x v="2"/>
  </r>
  <r>
    <x v="1603"/>
    <x v="0"/>
    <x v="8"/>
    <n v="21.3"/>
    <n v="170.4"/>
    <x v="59"/>
    <d v="2025-03-03T00:00:00"/>
    <x v="1"/>
    <x v="3"/>
    <x v="1"/>
    <x v="0"/>
    <x v="18"/>
    <x v="1"/>
    <x v="8"/>
    <x v="1"/>
  </r>
  <r>
    <x v="1604"/>
    <x v="9"/>
    <x v="2"/>
    <n v="24.3"/>
    <n v="72.900000000000006"/>
    <x v="59"/>
    <d v="2025-03-02T00:00:00"/>
    <x v="1"/>
    <x v="1"/>
    <x v="0"/>
    <x v="0"/>
    <x v="19"/>
    <x v="3"/>
    <x v="8"/>
    <x v="1"/>
  </r>
  <r>
    <x v="1605"/>
    <x v="8"/>
    <x v="0"/>
    <n v="43.3"/>
    <n v="43.3"/>
    <x v="59"/>
    <d v="2025-03-05T00:00:00"/>
    <x v="1"/>
    <x v="1"/>
    <x v="1"/>
    <x v="0"/>
    <x v="13"/>
    <x v="5"/>
    <x v="8"/>
    <x v="1"/>
  </r>
  <r>
    <x v="1606"/>
    <x v="9"/>
    <x v="2"/>
    <n v="41"/>
    <n v="123"/>
    <x v="59"/>
    <d v="2025-03-02T00:00:00"/>
    <x v="2"/>
    <x v="3"/>
    <x v="4"/>
    <x v="0"/>
    <x v="21"/>
    <x v="3"/>
    <x v="8"/>
    <x v="2"/>
  </r>
  <r>
    <x v="1607"/>
    <x v="16"/>
    <x v="2"/>
    <n v="54.1"/>
    <n v="162.30000000000001"/>
    <x v="59"/>
    <d v="2025-03-03T00:00:00"/>
    <x v="2"/>
    <x v="4"/>
    <x v="0"/>
    <x v="0"/>
    <x v="21"/>
    <x v="1"/>
    <x v="8"/>
    <x v="2"/>
  </r>
  <r>
    <x v="1608"/>
    <x v="11"/>
    <x v="1"/>
    <n v="39"/>
    <n v="78"/>
    <x v="59"/>
    <d v="2025-03-02T00:00:00"/>
    <x v="1"/>
    <x v="1"/>
    <x v="2"/>
    <x v="0"/>
    <x v="1"/>
    <x v="3"/>
    <x v="8"/>
    <x v="1"/>
  </r>
  <r>
    <x v="1609"/>
    <x v="8"/>
    <x v="1"/>
    <n v="40.299999999999997"/>
    <n v="80.599999999999994"/>
    <x v="59"/>
    <d v="2025-03-03T00:00:00"/>
    <x v="1"/>
    <x v="3"/>
    <x v="0"/>
    <x v="0"/>
    <x v="27"/>
    <x v="1"/>
    <x v="8"/>
    <x v="1"/>
  </r>
  <r>
    <x v="1610"/>
    <x v="8"/>
    <x v="2"/>
    <n v="24.1"/>
    <n v="72.300000000000011"/>
    <x v="59"/>
    <d v="2025-03-02T00:00:00"/>
    <x v="1"/>
    <x v="0"/>
    <x v="2"/>
    <x v="0"/>
    <x v="34"/>
    <x v="3"/>
    <x v="8"/>
    <x v="1"/>
  </r>
  <r>
    <x v="1611"/>
    <x v="6"/>
    <x v="9"/>
    <n v="52.3"/>
    <n v="261.5"/>
    <x v="59"/>
    <d v="2025-03-02T00:00:00"/>
    <x v="1"/>
    <x v="2"/>
    <x v="0"/>
    <x v="0"/>
    <x v="3"/>
    <x v="3"/>
    <x v="8"/>
    <x v="1"/>
  </r>
  <r>
    <x v="1612"/>
    <x v="12"/>
    <x v="12"/>
    <n v="68.8"/>
    <n v="275.2"/>
    <x v="59"/>
    <d v="2025-03-05T00:00:00"/>
    <x v="2"/>
    <x v="4"/>
    <x v="2"/>
    <x v="0"/>
    <x v="3"/>
    <x v="5"/>
    <x v="8"/>
    <x v="2"/>
  </r>
  <r>
    <x v="1613"/>
    <x v="2"/>
    <x v="1"/>
    <n v="128.80000000000001"/>
    <n v="257.60000000000002"/>
    <x v="60"/>
    <d v="2025-03-05T00:00:00"/>
    <x v="2"/>
    <x v="1"/>
    <x v="1"/>
    <x v="0"/>
    <x v="3"/>
    <x v="2"/>
    <x v="9"/>
    <x v="2"/>
  </r>
  <r>
    <x v="1614"/>
    <x v="15"/>
    <x v="9"/>
    <n v="48.2"/>
    <n v="241"/>
    <x v="60"/>
    <d v="2025-03-04T00:00:00"/>
    <x v="2"/>
    <x v="3"/>
    <x v="0"/>
    <x v="0"/>
    <x v="3"/>
    <x v="1"/>
    <x v="9"/>
    <x v="2"/>
  </r>
  <r>
    <x v="1615"/>
    <x v="10"/>
    <x v="0"/>
    <n v="39.700000000000003"/>
    <n v="39.700000000000003"/>
    <x v="60"/>
    <d v="2025-03-04T00:00:00"/>
    <x v="2"/>
    <x v="0"/>
    <x v="1"/>
    <x v="0"/>
    <x v="3"/>
    <x v="1"/>
    <x v="9"/>
    <x v="2"/>
  </r>
  <r>
    <x v="1616"/>
    <x v="9"/>
    <x v="0"/>
    <n v="59.7"/>
    <n v="59.7"/>
    <x v="60"/>
    <d v="2025-03-05T00:00:00"/>
    <x v="2"/>
    <x v="4"/>
    <x v="0"/>
    <x v="0"/>
    <x v="3"/>
    <x v="2"/>
    <x v="9"/>
    <x v="2"/>
  </r>
  <r>
    <x v="1617"/>
    <x v="6"/>
    <x v="0"/>
    <n v="48.3"/>
    <n v="48.3"/>
    <x v="60"/>
    <d v="2025-03-16T00:00:00"/>
    <x v="3"/>
    <x v="0"/>
    <x v="2"/>
    <x v="0"/>
    <x v="3"/>
    <x v="12"/>
    <x v="9"/>
    <x v="3"/>
  </r>
  <r>
    <x v="1618"/>
    <x v="8"/>
    <x v="2"/>
    <n v="45.5"/>
    <n v="136.5"/>
    <x v="60"/>
    <d v="2025-03-04T00:00:00"/>
    <x v="1"/>
    <x v="2"/>
    <x v="1"/>
    <x v="0"/>
    <x v="3"/>
    <x v="1"/>
    <x v="9"/>
    <x v="1"/>
  </r>
  <r>
    <x v="1619"/>
    <x v="9"/>
    <x v="6"/>
    <n v="51"/>
    <n v="1377"/>
    <x v="60"/>
    <d v="2025-03-02T00:00:00"/>
    <x v="2"/>
    <x v="2"/>
    <x v="0"/>
    <x v="0"/>
    <x v="3"/>
    <x v="7"/>
    <x v="9"/>
    <x v="2"/>
  </r>
  <r>
    <x v="1620"/>
    <x v="4"/>
    <x v="13"/>
    <n v="20.399999999999999"/>
    <n v="122.39999999999999"/>
    <x v="60"/>
    <d v="2025-03-03T00:00:00"/>
    <x v="1"/>
    <x v="2"/>
    <x v="0"/>
    <x v="0"/>
    <x v="3"/>
    <x v="3"/>
    <x v="9"/>
    <x v="1"/>
  </r>
  <r>
    <x v="1621"/>
    <x v="10"/>
    <x v="1"/>
    <n v="30.4"/>
    <n v="60.8"/>
    <x v="60"/>
    <d v="2025-03-04T00:00:00"/>
    <x v="1"/>
    <x v="2"/>
    <x v="0"/>
    <x v="0"/>
    <x v="3"/>
    <x v="1"/>
    <x v="9"/>
    <x v="1"/>
  </r>
  <r>
    <x v="1622"/>
    <x v="7"/>
    <x v="1"/>
    <n v="71.5"/>
    <n v="143"/>
    <x v="60"/>
    <d v="2025-03-06T00:00:00"/>
    <x v="2"/>
    <x v="0"/>
    <x v="0"/>
    <x v="0"/>
    <x v="3"/>
    <x v="5"/>
    <x v="9"/>
    <x v="2"/>
  </r>
  <r>
    <x v="1623"/>
    <x v="8"/>
    <x v="13"/>
    <n v="18"/>
    <n v="108"/>
    <x v="60"/>
    <d v="2025-03-03T00:00:00"/>
    <x v="3"/>
    <x v="1"/>
    <x v="2"/>
    <x v="0"/>
    <x v="6"/>
    <x v="3"/>
    <x v="9"/>
    <x v="3"/>
  </r>
  <r>
    <x v="1624"/>
    <x v="15"/>
    <x v="5"/>
    <n v="45.6"/>
    <n v="501.6"/>
    <x v="60"/>
    <d v="2025-03-03T00:00:00"/>
    <x v="3"/>
    <x v="1"/>
    <x v="1"/>
    <x v="0"/>
    <x v="7"/>
    <x v="3"/>
    <x v="9"/>
    <x v="3"/>
  </r>
  <r>
    <x v="1625"/>
    <x v="9"/>
    <x v="0"/>
    <n v="31.8"/>
    <n v="31.8"/>
    <x v="60"/>
    <d v="2025-03-06T00:00:00"/>
    <x v="2"/>
    <x v="0"/>
    <x v="2"/>
    <x v="0"/>
    <x v="7"/>
    <x v="5"/>
    <x v="9"/>
    <x v="2"/>
  </r>
  <r>
    <x v="1626"/>
    <x v="8"/>
    <x v="9"/>
    <n v="19.899999999999999"/>
    <n v="99.5"/>
    <x v="60"/>
    <d v="2025-03-03T00:00:00"/>
    <x v="2"/>
    <x v="1"/>
    <x v="0"/>
    <x v="0"/>
    <x v="7"/>
    <x v="3"/>
    <x v="9"/>
    <x v="2"/>
  </r>
  <r>
    <x v="1627"/>
    <x v="12"/>
    <x v="11"/>
    <n v="52.1"/>
    <n v="468.90000000000003"/>
    <x v="60"/>
    <d v="2025-03-04T00:00:00"/>
    <x v="1"/>
    <x v="0"/>
    <x v="0"/>
    <x v="0"/>
    <x v="8"/>
    <x v="1"/>
    <x v="9"/>
    <x v="1"/>
  </r>
  <r>
    <x v="1628"/>
    <x v="1"/>
    <x v="3"/>
    <n v="45.9"/>
    <n v="321.3"/>
    <x v="60"/>
    <d v="2025-03-03T00:00:00"/>
    <x v="1"/>
    <x v="0"/>
    <x v="1"/>
    <x v="0"/>
    <x v="8"/>
    <x v="3"/>
    <x v="9"/>
    <x v="1"/>
  </r>
  <r>
    <x v="1629"/>
    <x v="1"/>
    <x v="7"/>
    <n v="115.9"/>
    <n v="1159"/>
    <x v="60"/>
    <d v="2025-03-05T00:00:00"/>
    <x v="2"/>
    <x v="1"/>
    <x v="0"/>
    <x v="0"/>
    <x v="8"/>
    <x v="2"/>
    <x v="9"/>
    <x v="2"/>
  </r>
  <r>
    <x v="1630"/>
    <x v="6"/>
    <x v="11"/>
    <n v="86"/>
    <n v="774"/>
    <x v="60"/>
    <d v="2025-03-07T00:00:00"/>
    <x v="2"/>
    <x v="0"/>
    <x v="1"/>
    <x v="0"/>
    <x v="8"/>
    <x v="0"/>
    <x v="9"/>
    <x v="2"/>
  </r>
  <r>
    <x v="1631"/>
    <x v="7"/>
    <x v="3"/>
    <n v="73.599999999999994"/>
    <n v="515.19999999999993"/>
    <x v="60"/>
    <d v="2025-03-04T00:00:00"/>
    <x v="2"/>
    <x v="0"/>
    <x v="0"/>
    <x v="0"/>
    <x v="17"/>
    <x v="1"/>
    <x v="9"/>
    <x v="2"/>
  </r>
  <r>
    <x v="1632"/>
    <x v="10"/>
    <x v="2"/>
    <n v="26.7"/>
    <n v="80.099999999999994"/>
    <x v="60"/>
    <d v="2025-03-06T00:00:00"/>
    <x v="2"/>
    <x v="0"/>
    <x v="0"/>
    <x v="0"/>
    <x v="11"/>
    <x v="5"/>
    <x v="9"/>
    <x v="2"/>
  </r>
  <r>
    <x v="1633"/>
    <x v="8"/>
    <x v="3"/>
    <n v="46.6"/>
    <n v="326.2"/>
    <x v="60"/>
    <d v="2025-03-04T00:00:00"/>
    <x v="0"/>
    <x v="3"/>
    <x v="0"/>
    <x v="0"/>
    <x v="11"/>
    <x v="1"/>
    <x v="9"/>
    <x v="0"/>
  </r>
  <r>
    <x v="1634"/>
    <x v="3"/>
    <x v="2"/>
    <n v="84.6"/>
    <n v="253.79999999999998"/>
    <x v="60"/>
    <d v="2025-03-04T00:00:00"/>
    <x v="1"/>
    <x v="4"/>
    <x v="0"/>
    <x v="0"/>
    <x v="11"/>
    <x v="1"/>
    <x v="9"/>
    <x v="1"/>
  </r>
  <r>
    <x v="1635"/>
    <x v="7"/>
    <x v="21"/>
    <n v="41.5"/>
    <n v="581"/>
    <x v="60"/>
    <d v="2025-03-16T00:00:00"/>
    <x v="1"/>
    <x v="1"/>
    <x v="0"/>
    <x v="0"/>
    <x v="53"/>
    <x v="12"/>
    <x v="9"/>
    <x v="1"/>
  </r>
  <r>
    <x v="1636"/>
    <x v="8"/>
    <x v="0"/>
    <n v="32.799999999999997"/>
    <n v="32.799999999999997"/>
    <x v="60"/>
    <d v="2025-03-05T00:00:00"/>
    <x v="1"/>
    <x v="0"/>
    <x v="2"/>
    <x v="0"/>
    <x v="30"/>
    <x v="2"/>
    <x v="9"/>
    <x v="1"/>
  </r>
  <r>
    <x v="1637"/>
    <x v="4"/>
    <x v="3"/>
    <n v="46.7"/>
    <n v="326.90000000000003"/>
    <x v="60"/>
    <d v="2025-03-04T00:00:00"/>
    <x v="3"/>
    <x v="0"/>
    <x v="2"/>
    <x v="0"/>
    <x v="18"/>
    <x v="1"/>
    <x v="9"/>
    <x v="3"/>
  </r>
  <r>
    <x v="1638"/>
    <x v="15"/>
    <x v="3"/>
    <n v="21"/>
    <n v="147"/>
    <x v="60"/>
    <d v="2025-03-05T00:00:00"/>
    <x v="1"/>
    <x v="2"/>
    <x v="1"/>
    <x v="0"/>
    <x v="21"/>
    <x v="2"/>
    <x v="9"/>
    <x v="1"/>
  </r>
  <r>
    <x v="1639"/>
    <x v="5"/>
    <x v="3"/>
    <n v="29.4"/>
    <n v="205.79999999999998"/>
    <x v="60"/>
    <d v="2025-03-02T00:00:00"/>
    <x v="1"/>
    <x v="3"/>
    <x v="2"/>
    <x v="0"/>
    <x v="21"/>
    <x v="7"/>
    <x v="9"/>
    <x v="1"/>
  </r>
  <r>
    <x v="1640"/>
    <x v="15"/>
    <x v="1"/>
    <n v="32.299999999999997"/>
    <n v="64.599999999999994"/>
    <x v="60"/>
    <d v="2025-03-03T00:00:00"/>
    <x v="1"/>
    <x v="0"/>
    <x v="2"/>
    <x v="0"/>
    <x v="21"/>
    <x v="3"/>
    <x v="9"/>
    <x v="1"/>
  </r>
  <r>
    <x v="1641"/>
    <x v="6"/>
    <x v="0"/>
    <n v="42.2"/>
    <n v="42.2"/>
    <x v="61"/>
    <d v="2025-03-05T00:00:00"/>
    <x v="2"/>
    <x v="0"/>
    <x v="2"/>
    <x v="0"/>
    <x v="21"/>
    <x v="1"/>
    <x v="9"/>
    <x v="2"/>
  </r>
  <r>
    <x v="1642"/>
    <x v="6"/>
    <x v="0"/>
    <n v="53.7"/>
    <n v="53.7"/>
    <x v="61"/>
    <d v="2025-03-05T00:00:00"/>
    <x v="1"/>
    <x v="1"/>
    <x v="1"/>
    <x v="0"/>
    <x v="1"/>
    <x v="1"/>
    <x v="9"/>
    <x v="1"/>
  </r>
  <r>
    <x v="1643"/>
    <x v="2"/>
    <x v="1"/>
    <n v="123.9"/>
    <n v="247.8"/>
    <x v="61"/>
    <d v="2025-03-06T00:00:00"/>
    <x v="1"/>
    <x v="2"/>
    <x v="0"/>
    <x v="0"/>
    <x v="1"/>
    <x v="2"/>
    <x v="9"/>
    <x v="1"/>
  </r>
  <r>
    <x v="1644"/>
    <x v="4"/>
    <x v="2"/>
    <n v="35.9"/>
    <n v="107.69999999999999"/>
    <x v="61"/>
    <d v="2025-03-05T00:00:00"/>
    <x v="1"/>
    <x v="2"/>
    <x v="0"/>
    <x v="0"/>
    <x v="22"/>
    <x v="1"/>
    <x v="9"/>
    <x v="1"/>
  </r>
  <r>
    <x v="1645"/>
    <x v="4"/>
    <x v="1"/>
    <n v="23.6"/>
    <n v="47.2"/>
    <x v="61"/>
    <d v="2025-03-06T00:00:00"/>
    <x v="1"/>
    <x v="0"/>
    <x v="2"/>
    <x v="0"/>
    <x v="3"/>
    <x v="2"/>
    <x v="9"/>
    <x v="1"/>
  </r>
  <r>
    <x v="1646"/>
    <x v="15"/>
    <x v="36"/>
    <n v="45.7"/>
    <n v="1599.5"/>
    <x v="61"/>
    <d v="2025-03-04T00:00:00"/>
    <x v="1"/>
    <x v="0"/>
    <x v="1"/>
    <x v="0"/>
    <x v="3"/>
    <x v="3"/>
    <x v="9"/>
    <x v="1"/>
  </r>
  <r>
    <x v="1647"/>
    <x v="6"/>
    <x v="5"/>
    <n v="118.3"/>
    <n v="1301.3"/>
    <x v="61"/>
    <d v="2025-03-05T00:00:00"/>
    <x v="1"/>
    <x v="4"/>
    <x v="2"/>
    <x v="0"/>
    <x v="3"/>
    <x v="1"/>
    <x v="9"/>
    <x v="1"/>
  </r>
  <r>
    <x v="1648"/>
    <x v="19"/>
    <x v="0"/>
    <n v="36"/>
    <n v="36"/>
    <x v="61"/>
    <d v="2025-03-04T00:00:00"/>
    <x v="2"/>
    <x v="0"/>
    <x v="1"/>
    <x v="0"/>
    <x v="3"/>
    <x v="3"/>
    <x v="9"/>
    <x v="2"/>
  </r>
  <r>
    <x v="1649"/>
    <x v="8"/>
    <x v="1"/>
    <n v="37.1"/>
    <n v="74.2"/>
    <x v="61"/>
    <d v="2025-03-06T00:00:00"/>
    <x v="2"/>
    <x v="2"/>
    <x v="0"/>
    <x v="0"/>
    <x v="3"/>
    <x v="2"/>
    <x v="9"/>
    <x v="2"/>
  </r>
  <r>
    <x v="1650"/>
    <x v="18"/>
    <x v="2"/>
    <n v="45.1"/>
    <n v="135.30000000000001"/>
    <x v="61"/>
    <d v="2025-03-05T00:00:00"/>
    <x v="2"/>
    <x v="1"/>
    <x v="2"/>
    <x v="0"/>
    <x v="3"/>
    <x v="1"/>
    <x v="9"/>
    <x v="2"/>
  </r>
  <r>
    <x v="1651"/>
    <x v="5"/>
    <x v="27"/>
    <n v="37.9"/>
    <n v="606.4"/>
    <x v="61"/>
    <d v="2025-03-04T00:00:00"/>
    <x v="2"/>
    <x v="3"/>
    <x v="2"/>
    <x v="0"/>
    <x v="3"/>
    <x v="3"/>
    <x v="9"/>
    <x v="2"/>
  </r>
  <r>
    <x v="1652"/>
    <x v="2"/>
    <x v="1"/>
    <n v="121.6"/>
    <n v="243.2"/>
    <x v="61"/>
    <d v="2025-03-06T00:00:00"/>
    <x v="1"/>
    <x v="3"/>
    <x v="2"/>
    <x v="0"/>
    <x v="3"/>
    <x v="2"/>
    <x v="9"/>
    <x v="1"/>
  </r>
  <r>
    <x v="1653"/>
    <x v="5"/>
    <x v="3"/>
    <n v="38.200000000000003"/>
    <n v="267.40000000000003"/>
    <x v="61"/>
    <d v="2025-03-06T00:00:00"/>
    <x v="2"/>
    <x v="0"/>
    <x v="0"/>
    <x v="0"/>
    <x v="3"/>
    <x v="2"/>
    <x v="9"/>
    <x v="2"/>
  </r>
  <r>
    <x v="1654"/>
    <x v="17"/>
    <x v="1"/>
    <n v="37.200000000000003"/>
    <n v="74.400000000000006"/>
    <x v="61"/>
    <d v="2025-03-06T00:00:00"/>
    <x v="1"/>
    <x v="4"/>
    <x v="0"/>
    <x v="0"/>
    <x v="3"/>
    <x v="2"/>
    <x v="9"/>
    <x v="1"/>
  </r>
  <r>
    <x v="1655"/>
    <x v="2"/>
    <x v="12"/>
    <n v="115.7"/>
    <n v="462.8"/>
    <x v="61"/>
    <d v="2025-03-06T00:00:00"/>
    <x v="2"/>
    <x v="1"/>
    <x v="0"/>
    <x v="0"/>
    <x v="3"/>
    <x v="2"/>
    <x v="9"/>
    <x v="2"/>
  </r>
  <r>
    <x v="1656"/>
    <x v="2"/>
    <x v="13"/>
    <n v="99.4"/>
    <n v="596.40000000000009"/>
    <x v="61"/>
    <d v="2025-03-06T00:00:00"/>
    <x v="1"/>
    <x v="0"/>
    <x v="2"/>
    <x v="0"/>
    <x v="3"/>
    <x v="2"/>
    <x v="9"/>
    <x v="1"/>
  </r>
  <r>
    <x v="1657"/>
    <x v="11"/>
    <x v="0"/>
    <n v="38.700000000000003"/>
    <n v="38.700000000000003"/>
    <x v="61"/>
    <d v="2025-03-04T00:00:00"/>
    <x v="2"/>
    <x v="2"/>
    <x v="0"/>
    <x v="0"/>
    <x v="25"/>
    <x v="3"/>
    <x v="9"/>
    <x v="2"/>
  </r>
  <r>
    <x v="1658"/>
    <x v="4"/>
    <x v="1"/>
    <n v="35.5"/>
    <n v="71"/>
    <x v="61"/>
    <d v="2025-03-06T00:00:00"/>
    <x v="1"/>
    <x v="0"/>
    <x v="2"/>
    <x v="0"/>
    <x v="25"/>
    <x v="2"/>
    <x v="9"/>
    <x v="1"/>
  </r>
  <r>
    <x v="1659"/>
    <x v="2"/>
    <x v="12"/>
    <n v="93.3"/>
    <n v="373.2"/>
    <x v="61"/>
    <d v="2025-03-06T00:00:00"/>
    <x v="2"/>
    <x v="0"/>
    <x v="2"/>
    <x v="0"/>
    <x v="6"/>
    <x v="2"/>
    <x v="9"/>
    <x v="2"/>
  </r>
  <r>
    <x v="1660"/>
    <x v="16"/>
    <x v="0"/>
    <n v="31.4"/>
    <n v="31.4"/>
    <x v="61"/>
    <d v="2025-03-08T00:00:00"/>
    <x v="2"/>
    <x v="2"/>
    <x v="2"/>
    <x v="0"/>
    <x v="6"/>
    <x v="0"/>
    <x v="9"/>
    <x v="2"/>
  </r>
  <r>
    <x v="1661"/>
    <x v="1"/>
    <x v="0"/>
    <n v="85.9"/>
    <n v="85.9"/>
    <x v="61"/>
    <d v="2025-03-06T00:00:00"/>
    <x v="1"/>
    <x v="1"/>
    <x v="0"/>
    <x v="0"/>
    <x v="6"/>
    <x v="2"/>
    <x v="9"/>
    <x v="1"/>
  </r>
  <r>
    <x v="1662"/>
    <x v="6"/>
    <x v="8"/>
    <n v="41.7"/>
    <n v="333.6"/>
    <x v="61"/>
    <d v="2025-03-11T00:00:00"/>
    <x v="1"/>
    <x v="0"/>
    <x v="2"/>
    <x v="0"/>
    <x v="7"/>
    <x v="9"/>
    <x v="9"/>
    <x v="1"/>
  </r>
  <r>
    <x v="1663"/>
    <x v="8"/>
    <x v="12"/>
    <n v="31.5"/>
    <n v="126"/>
    <x v="61"/>
    <d v="2025-03-04T00:00:00"/>
    <x v="2"/>
    <x v="0"/>
    <x v="0"/>
    <x v="0"/>
    <x v="7"/>
    <x v="3"/>
    <x v="9"/>
    <x v="2"/>
  </r>
  <r>
    <x v="1664"/>
    <x v="8"/>
    <x v="1"/>
    <n v="36.299999999999997"/>
    <n v="72.599999999999994"/>
    <x v="61"/>
    <d v="2025-03-04T00:00:00"/>
    <x v="2"/>
    <x v="0"/>
    <x v="4"/>
    <x v="0"/>
    <x v="8"/>
    <x v="3"/>
    <x v="9"/>
    <x v="2"/>
  </r>
  <r>
    <x v="1665"/>
    <x v="8"/>
    <x v="2"/>
    <n v="33.4"/>
    <n v="100.19999999999999"/>
    <x v="61"/>
    <d v="2025-03-04T00:00:00"/>
    <x v="2"/>
    <x v="3"/>
    <x v="0"/>
    <x v="0"/>
    <x v="17"/>
    <x v="3"/>
    <x v="9"/>
    <x v="2"/>
  </r>
  <r>
    <x v="1666"/>
    <x v="2"/>
    <x v="2"/>
    <n v="65.2"/>
    <n v="195.60000000000002"/>
    <x v="61"/>
    <d v="2025-03-04T00:00:00"/>
    <x v="2"/>
    <x v="2"/>
    <x v="2"/>
    <x v="0"/>
    <x v="26"/>
    <x v="3"/>
    <x v="9"/>
    <x v="2"/>
  </r>
  <r>
    <x v="1667"/>
    <x v="8"/>
    <x v="11"/>
    <n v="65.5"/>
    <n v="589.5"/>
    <x v="61"/>
    <d v="2025-03-06T00:00:00"/>
    <x v="2"/>
    <x v="0"/>
    <x v="2"/>
    <x v="0"/>
    <x v="9"/>
    <x v="2"/>
    <x v="9"/>
    <x v="2"/>
  </r>
  <r>
    <x v="1668"/>
    <x v="6"/>
    <x v="2"/>
    <n v="52.8"/>
    <n v="158.39999999999998"/>
    <x v="61"/>
    <d v="2025-03-06T00:00:00"/>
    <x v="1"/>
    <x v="2"/>
    <x v="0"/>
    <x v="0"/>
    <x v="9"/>
    <x v="2"/>
    <x v="9"/>
    <x v="1"/>
  </r>
  <r>
    <x v="1669"/>
    <x v="9"/>
    <x v="9"/>
    <n v="24"/>
    <n v="120"/>
    <x v="61"/>
    <d v="2025-03-07T00:00:00"/>
    <x v="1"/>
    <x v="0"/>
    <x v="1"/>
    <x v="0"/>
    <x v="11"/>
    <x v="5"/>
    <x v="9"/>
    <x v="1"/>
  </r>
  <r>
    <x v="1670"/>
    <x v="3"/>
    <x v="2"/>
    <n v="51.2"/>
    <n v="153.60000000000002"/>
    <x v="61"/>
    <d v="2025-03-04T00:00:00"/>
    <x v="2"/>
    <x v="0"/>
    <x v="0"/>
    <x v="0"/>
    <x v="32"/>
    <x v="3"/>
    <x v="9"/>
    <x v="2"/>
  </r>
  <r>
    <x v="1671"/>
    <x v="5"/>
    <x v="2"/>
    <n v="28.3"/>
    <n v="84.9"/>
    <x v="61"/>
    <d v="2025-03-05T00:00:00"/>
    <x v="1"/>
    <x v="4"/>
    <x v="0"/>
    <x v="0"/>
    <x v="19"/>
    <x v="1"/>
    <x v="9"/>
    <x v="1"/>
  </r>
  <r>
    <x v="1672"/>
    <x v="6"/>
    <x v="2"/>
    <n v="42.3"/>
    <n v="126.89999999999999"/>
    <x v="61"/>
    <d v="2025-03-03T00:00:00"/>
    <x v="2"/>
    <x v="2"/>
    <x v="1"/>
    <x v="0"/>
    <x v="19"/>
    <x v="7"/>
    <x v="9"/>
    <x v="2"/>
  </r>
  <r>
    <x v="1673"/>
    <x v="2"/>
    <x v="8"/>
    <n v="163.30000000000001"/>
    <n v="1306.4000000000001"/>
    <x v="62"/>
    <d v="2025-03-05T00:00:00"/>
    <x v="2"/>
    <x v="1"/>
    <x v="0"/>
    <x v="0"/>
    <x v="13"/>
    <x v="3"/>
    <x v="9"/>
    <x v="2"/>
  </r>
  <r>
    <x v="1674"/>
    <x v="6"/>
    <x v="3"/>
    <n v="47.3"/>
    <n v="331.09999999999997"/>
    <x v="62"/>
    <d v="2025-03-07T00:00:00"/>
    <x v="2"/>
    <x v="4"/>
    <x v="1"/>
    <x v="0"/>
    <x v="21"/>
    <x v="2"/>
    <x v="9"/>
    <x v="2"/>
  </r>
  <r>
    <x v="1675"/>
    <x v="8"/>
    <x v="27"/>
    <n v="27.3"/>
    <n v="436.8"/>
    <x v="62"/>
    <d v="2025-03-05T00:00:00"/>
    <x v="2"/>
    <x v="2"/>
    <x v="0"/>
    <x v="0"/>
    <x v="21"/>
    <x v="3"/>
    <x v="9"/>
    <x v="2"/>
  </r>
  <r>
    <x v="1676"/>
    <x v="10"/>
    <x v="13"/>
    <n v="34.9"/>
    <n v="209.39999999999998"/>
    <x v="62"/>
    <d v="2025-03-15T00:00:00"/>
    <x v="2"/>
    <x v="0"/>
    <x v="0"/>
    <x v="0"/>
    <x v="21"/>
    <x v="11"/>
    <x v="9"/>
    <x v="2"/>
  </r>
  <r>
    <x v="1677"/>
    <x v="6"/>
    <x v="1"/>
    <n v="53.9"/>
    <n v="107.8"/>
    <x v="62"/>
    <d v="2025-03-07T00:00:00"/>
    <x v="3"/>
    <x v="0"/>
    <x v="4"/>
    <x v="0"/>
    <x v="1"/>
    <x v="2"/>
    <x v="9"/>
    <x v="3"/>
  </r>
  <r>
    <x v="1678"/>
    <x v="2"/>
    <x v="1"/>
    <n v="87.2"/>
    <n v="174.4"/>
    <x v="62"/>
    <d v="2025-03-05T00:00:00"/>
    <x v="2"/>
    <x v="0"/>
    <x v="1"/>
    <x v="0"/>
    <x v="1"/>
    <x v="3"/>
    <x v="9"/>
    <x v="2"/>
  </r>
  <r>
    <x v="1679"/>
    <x v="15"/>
    <x v="0"/>
    <n v="58.8"/>
    <n v="58.8"/>
    <x v="62"/>
    <d v="2025-03-06T00:00:00"/>
    <x v="2"/>
    <x v="2"/>
    <x v="0"/>
    <x v="0"/>
    <x v="44"/>
    <x v="1"/>
    <x v="9"/>
    <x v="2"/>
  </r>
  <r>
    <x v="1680"/>
    <x v="2"/>
    <x v="3"/>
    <n v="125.5"/>
    <n v="878.5"/>
    <x v="62"/>
    <d v="2025-03-05T00:00:00"/>
    <x v="1"/>
    <x v="2"/>
    <x v="4"/>
    <x v="0"/>
    <x v="22"/>
    <x v="3"/>
    <x v="9"/>
    <x v="1"/>
  </r>
  <r>
    <x v="1681"/>
    <x v="1"/>
    <x v="12"/>
    <n v="124.6"/>
    <n v="498.4"/>
    <x v="62"/>
    <d v="2025-03-06T00:00:00"/>
    <x v="2"/>
    <x v="0"/>
    <x v="1"/>
    <x v="0"/>
    <x v="22"/>
    <x v="1"/>
    <x v="9"/>
    <x v="2"/>
  </r>
  <r>
    <x v="1682"/>
    <x v="1"/>
    <x v="3"/>
    <n v="39.9"/>
    <n v="279.3"/>
    <x v="62"/>
    <d v="2025-03-05T00:00:00"/>
    <x v="1"/>
    <x v="2"/>
    <x v="1"/>
    <x v="0"/>
    <x v="3"/>
    <x v="3"/>
    <x v="9"/>
    <x v="1"/>
  </r>
  <r>
    <x v="1683"/>
    <x v="6"/>
    <x v="0"/>
    <n v="94.6"/>
    <n v="94.6"/>
    <x v="62"/>
    <d v="2025-03-18T00:00:00"/>
    <x v="2"/>
    <x v="0"/>
    <x v="1"/>
    <x v="0"/>
    <x v="3"/>
    <x v="12"/>
    <x v="9"/>
    <x v="2"/>
  </r>
  <r>
    <x v="1684"/>
    <x v="2"/>
    <x v="1"/>
    <n v="149.6"/>
    <n v="299.2"/>
    <x v="62"/>
    <d v="2025-03-05T00:00:00"/>
    <x v="2"/>
    <x v="0"/>
    <x v="0"/>
    <x v="0"/>
    <x v="3"/>
    <x v="3"/>
    <x v="9"/>
    <x v="2"/>
  </r>
  <r>
    <x v="1685"/>
    <x v="8"/>
    <x v="0"/>
    <n v="52.2"/>
    <n v="52.2"/>
    <x v="62"/>
    <d v="2025-03-05T00:00:00"/>
    <x v="0"/>
    <x v="1"/>
    <x v="0"/>
    <x v="0"/>
    <x v="3"/>
    <x v="3"/>
    <x v="9"/>
    <x v="0"/>
  </r>
  <r>
    <x v="1686"/>
    <x v="6"/>
    <x v="1"/>
    <n v="96.5"/>
    <n v="193"/>
    <x v="62"/>
    <d v="2025-03-05T00:00:00"/>
    <x v="2"/>
    <x v="1"/>
    <x v="1"/>
    <x v="0"/>
    <x v="3"/>
    <x v="3"/>
    <x v="9"/>
    <x v="2"/>
  </r>
  <r>
    <x v="1687"/>
    <x v="8"/>
    <x v="1"/>
    <n v="79.8"/>
    <n v="159.6"/>
    <x v="62"/>
    <d v="2025-03-06T00:00:00"/>
    <x v="2"/>
    <x v="0"/>
    <x v="1"/>
    <x v="0"/>
    <x v="3"/>
    <x v="1"/>
    <x v="9"/>
    <x v="2"/>
  </r>
  <r>
    <x v="1688"/>
    <x v="8"/>
    <x v="2"/>
    <n v="35.6"/>
    <n v="106.80000000000001"/>
    <x v="62"/>
    <d v="2025-03-05T00:00:00"/>
    <x v="2"/>
    <x v="2"/>
    <x v="0"/>
    <x v="0"/>
    <x v="3"/>
    <x v="3"/>
    <x v="9"/>
    <x v="2"/>
  </r>
  <r>
    <x v="1689"/>
    <x v="16"/>
    <x v="0"/>
    <n v="50.2"/>
    <n v="50.2"/>
    <x v="62"/>
    <d v="2025-03-05T00:00:00"/>
    <x v="2"/>
    <x v="1"/>
    <x v="2"/>
    <x v="0"/>
    <x v="3"/>
    <x v="3"/>
    <x v="9"/>
    <x v="2"/>
  </r>
  <r>
    <x v="1690"/>
    <x v="1"/>
    <x v="2"/>
    <n v="55.3"/>
    <n v="165.89999999999998"/>
    <x v="62"/>
    <d v="2025-03-07T00:00:00"/>
    <x v="2"/>
    <x v="0"/>
    <x v="4"/>
    <x v="0"/>
    <x v="40"/>
    <x v="2"/>
    <x v="9"/>
    <x v="2"/>
  </r>
  <r>
    <x v="1691"/>
    <x v="6"/>
    <x v="3"/>
    <n v="104.5"/>
    <n v="731.5"/>
    <x v="62"/>
    <d v="2025-03-08T00:00:00"/>
    <x v="2"/>
    <x v="1"/>
    <x v="0"/>
    <x v="0"/>
    <x v="7"/>
    <x v="5"/>
    <x v="9"/>
    <x v="2"/>
  </r>
  <r>
    <x v="1692"/>
    <x v="6"/>
    <x v="12"/>
    <n v="66.5"/>
    <n v="266"/>
    <x v="62"/>
    <d v="2025-03-06T00:00:00"/>
    <x v="1"/>
    <x v="1"/>
    <x v="0"/>
    <x v="0"/>
    <x v="7"/>
    <x v="1"/>
    <x v="9"/>
    <x v="1"/>
  </r>
  <r>
    <x v="1693"/>
    <x v="10"/>
    <x v="8"/>
    <n v="38.299999999999997"/>
    <n v="306.39999999999998"/>
    <x v="62"/>
    <d v="2025-03-05T00:00:00"/>
    <x v="2"/>
    <x v="0"/>
    <x v="0"/>
    <x v="0"/>
    <x v="7"/>
    <x v="3"/>
    <x v="9"/>
    <x v="2"/>
  </r>
  <r>
    <x v="1694"/>
    <x v="6"/>
    <x v="2"/>
    <n v="63.8"/>
    <n v="191.39999999999998"/>
    <x v="62"/>
    <d v="2025-03-07T00:00:00"/>
    <x v="2"/>
    <x v="1"/>
    <x v="0"/>
    <x v="0"/>
    <x v="8"/>
    <x v="2"/>
    <x v="9"/>
    <x v="2"/>
  </r>
  <r>
    <x v="1695"/>
    <x v="15"/>
    <x v="0"/>
    <n v="21.4"/>
    <n v="21.4"/>
    <x v="62"/>
    <d v="2025-03-04T00:00:00"/>
    <x v="1"/>
    <x v="4"/>
    <x v="0"/>
    <x v="0"/>
    <x v="8"/>
    <x v="7"/>
    <x v="9"/>
    <x v="1"/>
  </r>
  <r>
    <x v="1696"/>
    <x v="8"/>
    <x v="12"/>
    <n v="44.1"/>
    <n v="176.4"/>
    <x v="62"/>
    <d v="2025-03-06T00:00:00"/>
    <x v="2"/>
    <x v="2"/>
    <x v="0"/>
    <x v="0"/>
    <x v="8"/>
    <x v="1"/>
    <x v="9"/>
    <x v="2"/>
  </r>
  <r>
    <x v="1697"/>
    <x v="5"/>
    <x v="8"/>
    <n v="57.6"/>
    <n v="460.8"/>
    <x v="62"/>
    <d v="2025-03-06T00:00:00"/>
    <x v="1"/>
    <x v="1"/>
    <x v="2"/>
    <x v="0"/>
    <x v="8"/>
    <x v="1"/>
    <x v="9"/>
    <x v="1"/>
  </r>
  <r>
    <x v="1698"/>
    <x v="9"/>
    <x v="1"/>
    <n v="20.3"/>
    <n v="40.6"/>
    <x v="62"/>
    <d v="2025-03-10T00:00:00"/>
    <x v="2"/>
    <x v="3"/>
    <x v="0"/>
    <x v="0"/>
    <x v="8"/>
    <x v="4"/>
    <x v="9"/>
    <x v="2"/>
  </r>
  <r>
    <x v="1699"/>
    <x v="8"/>
    <x v="0"/>
    <n v="22.9"/>
    <n v="22.9"/>
    <x v="62"/>
    <d v="2025-03-06T00:00:00"/>
    <x v="2"/>
    <x v="2"/>
    <x v="2"/>
    <x v="0"/>
    <x v="8"/>
    <x v="1"/>
    <x v="9"/>
    <x v="2"/>
  </r>
  <r>
    <x v="1700"/>
    <x v="6"/>
    <x v="12"/>
    <n v="105.9"/>
    <n v="423.6"/>
    <x v="62"/>
    <d v="2025-03-05T00:00:00"/>
    <x v="2"/>
    <x v="1"/>
    <x v="2"/>
    <x v="0"/>
    <x v="17"/>
    <x v="3"/>
    <x v="9"/>
    <x v="2"/>
  </r>
  <r>
    <x v="1701"/>
    <x v="1"/>
    <x v="11"/>
    <n v="37.4"/>
    <n v="336.59999999999997"/>
    <x v="62"/>
    <d v="2025-03-08T00:00:00"/>
    <x v="1"/>
    <x v="1"/>
    <x v="0"/>
    <x v="0"/>
    <x v="11"/>
    <x v="5"/>
    <x v="9"/>
    <x v="1"/>
  </r>
  <r>
    <x v="1702"/>
    <x v="18"/>
    <x v="1"/>
    <n v="79"/>
    <n v="158"/>
    <x v="62"/>
    <d v="2025-03-05T00:00:00"/>
    <x v="1"/>
    <x v="2"/>
    <x v="0"/>
    <x v="0"/>
    <x v="28"/>
    <x v="3"/>
    <x v="9"/>
    <x v="1"/>
  </r>
  <r>
    <x v="1703"/>
    <x v="0"/>
    <x v="2"/>
    <n v="19.3"/>
    <n v="57.900000000000006"/>
    <x v="62"/>
    <d v="2025-03-05T00:00:00"/>
    <x v="2"/>
    <x v="4"/>
    <x v="0"/>
    <x v="0"/>
    <x v="21"/>
    <x v="3"/>
    <x v="9"/>
    <x v="2"/>
  </r>
  <r>
    <x v="1704"/>
    <x v="0"/>
    <x v="0"/>
    <n v="24"/>
    <n v="24"/>
    <x v="62"/>
    <d v="2025-03-05T00:00:00"/>
    <x v="2"/>
    <x v="1"/>
    <x v="0"/>
    <x v="0"/>
    <x v="1"/>
    <x v="3"/>
    <x v="9"/>
    <x v="2"/>
  </r>
  <r>
    <x v="1705"/>
    <x v="6"/>
    <x v="9"/>
    <n v="71.3"/>
    <n v="356.5"/>
    <x v="62"/>
    <d v="2025-03-07T00:00:00"/>
    <x v="2"/>
    <x v="2"/>
    <x v="0"/>
    <x v="0"/>
    <x v="2"/>
    <x v="2"/>
    <x v="9"/>
    <x v="2"/>
  </r>
  <r>
    <x v="1706"/>
    <x v="5"/>
    <x v="1"/>
    <n v="166.2"/>
    <n v="332.4"/>
    <x v="62"/>
    <d v="2025-03-05T00:00:00"/>
    <x v="1"/>
    <x v="0"/>
    <x v="2"/>
    <x v="0"/>
    <x v="50"/>
    <x v="3"/>
    <x v="9"/>
    <x v="1"/>
  </r>
  <r>
    <x v="1707"/>
    <x v="6"/>
    <x v="0"/>
    <n v="81"/>
    <n v="81"/>
    <x v="62"/>
    <d v="2025-03-05T00:00:00"/>
    <x v="2"/>
    <x v="2"/>
    <x v="1"/>
    <x v="0"/>
    <x v="3"/>
    <x v="3"/>
    <x v="9"/>
    <x v="2"/>
  </r>
  <r>
    <x v="1708"/>
    <x v="10"/>
    <x v="13"/>
    <n v="38.5"/>
    <n v="231"/>
    <x v="62"/>
    <d v="2025-03-08T00:00:00"/>
    <x v="2"/>
    <x v="0"/>
    <x v="0"/>
    <x v="0"/>
    <x v="3"/>
    <x v="5"/>
    <x v="9"/>
    <x v="2"/>
  </r>
  <r>
    <x v="1709"/>
    <x v="6"/>
    <x v="0"/>
    <n v="86.1"/>
    <n v="86.1"/>
    <x v="62"/>
    <d v="2025-03-06T00:00:00"/>
    <x v="2"/>
    <x v="3"/>
    <x v="0"/>
    <x v="0"/>
    <x v="3"/>
    <x v="1"/>
    <x v="9"/>
    <x v="2"/>
  </r>
  <r>
    <x v="1710"/>
    <x v="2"/>
    <x v="9"/>
    <n v="51"/>
    <n v="255"/>
    <x v="62"/>
    <d v="2025-03-05T00:00:00"/>
    <x v="1"/>
    <x v="0"/>
    <x v="1"/>
    <x v="0"/>
    <x v="3"/>
    <x v="3"/>
    <x v="9"/>
    <x v="1"/>
  </r>
  <r>
    <x v="1711"/>
    <x v="3"/>
    <x v="9"/>
    <n v="115.4"/>
    <n v="577"/>
    <x v="62"/>
    <d v="2025-03-05T00:00:00"/>
    <x v="1"/>
    <x v="0"/>
    <x v="0"/>
    <x v="0"/>
    <x v="3"/>
    <x v="3"/>
    <x v="9"/>
    <x v="1"/>
  </r>
  <r>
    <x v="1712"/>
    <x v="6"/>
    <x v="12"/>
    <n v="176.5"/>
    <n v="706"/>
    <x v="62"/>
    <d v="2025-03-05T00:00:00"/>
    <x v="2"/>
    <x v="2"/>
    <x v="2"/>
    <x v="0"/>
    <x v="3"/>
    <x v="3"/>
    <x v="9"/>
    <x v="2"/>
  </r>
  <r>
    <x v="1713"/>
    <x v="7"/>
    <x v="2"/>
    <n v="48.9"/>
    <n v="146.69999999999999"/>
    <x v="62"/>
    <d v="2025-03-05T00:00:00"/>
    <x v="1"/>
    <x v="4"/>
    <x v="0"/>
    <x v="0"/>
    <x v="3"/>
    <x v="3"/>
    <x v="9"/>
    <x v="1"/>
  </r>
  <r>
    <x v="1714"/>
    <x v="8"/>
    <x v="2"/>
    <n v="18.100000000000001"/>
    <n v="54.300000000000004"/>
    <x v="62"/>
    <d v="2025-03-11T00:00:00"/>
    <x v="2"/>
    <x v="1"/>
    <x v="2"/>
    <x v="0"/>
    <x v="29"/>
    <x v="6"/>
    <x v="9"/>
    <x v="2"/>
  </r>
  <r>
    <x v="1715"/>
    <x v="2"/>
    <x v="1"/>
    <n v="118.5"/>
    <n v="237"/>
    <x v="62"/>
    <d v="2025-03-07T00:00:00"/>
    <x v="1"/>
    <x v="1"/>
    <x v="2"/>
    <x v="0"/>
    <x v="16"/>
    <x v="2"/>
    <x v="9"/>
    <x v="1"/>
  </r>
  <r>
    <x v="1716"/>
    <x v="15"/>
    <x v="3"/>
    <n v="59.1"/>
    <n v="413.7"/>
    <x v="62"/>
    <d v="2025-03-05T00:00:00"/>
    <x v="2"/>
    <x v="3"/>
    <x v="0"/>
    <x v="0"/>
    <x v="25"/>
    <x v="3"/>
    <x v="9"/>
    <x v="2"/>
  </r>
  <r>
    <x v="1717"/>
    <x v="4"/>
    <x v="0"/>
    <n v="21.2"/>
    <n v="21.2"/>
    <x v="62"/>
    <d v="2025-03-05T00:00:00"/>
    <x v="2"/>
    <x v="0"/>
    <x v="1"/>
    <x v="0"/>
    <x v="6"/>
    <x v="3"/>
    <x v="9"/>
    <x v="2"/>
  </r>
  <r>
    <x v="1718"/>
    <x v="6"/>
    <x v="1"/>
    <n v="68.8"/>
    <n v="137.6"/>
    <x v="62"/>
    <d v="2025-03-09T00:00:00"/>
    <x v="2"/>
    <x v="3"/>
    <x v="2"/>
    <x v="0"/>
    <x v="6"/>
    <x v="0"/>
    <x v="9"/>
    <x v="2"/>
  </r>
  <r>
    <x v="1719"/>
    <x v="6"/>
    <x v="1"/>
    <n v="65.400000000000006"/>
    <n v="130.80000000000001"/>
    <x v="62"/>
    <d v="2025-03-08T00:00:00"/>
    <x v="2"/>
    <x v="0"/>
    <x v="0"/>
    <x v="0"/>
    <x v="6"/>
    <x v="5"/>
    <x v="9"/>
    <x v="2"/>
  </r>
  <r>
    <x v="1720"/>
    <x v="12"/>
    <x v="9"/>
    <n v="66.3"/>
    <n v="331.5"/>
    <x v="63"/>
    <d v="2025-03-08T00:00:00"/>
    <x v="2"/>
    <x v="4"/>
    <x v="0"/>
    <x v="0"/>
    <x v="6"/>
    <x v="2"/>
    <x v="9"/>
    <x v="2"/>
  </r>
  <r>
    <x v="1721"/>
    <x v="6"/>
    <x v="2"/>
    <n v="97.5"/>
    <n v="292.5"/>
    <x v="63"/>
    <d v="2025-03-05T00:00:00"/>
    <x v="1"/>
    <x v="3"/>
    <x v="0"/>
    <x v="0"/>
    <x v="8"/>
    <x v="7"/>
    <x v="9"/>
    <x v="1"/>
  </r>
  <r>
    <x v="1722"/>
    <x v="1"/>
    <x v="1"/>
    <n v="44"/>
    <n v="88"/>
    <x v="63"/>
    <d v="2025-03-08T00:00:00"/>
    <x v="2"/>
    <x v="1"/>
    <x v="2"/>
    <x v="0"/>
    <x v="8"/>
    <x v="2"/>
    <x v="9"/>
    <x v="2"/>
  </r>
  <r>
    <x v="1723"/>
    <x v="0"/>
    <x v="0"/>
    <n v="21.9"/>
    <n v="21.9"/>
    <x v="63"/>
    <d v="2025-03-06T00:00:00"/>
    <x v="1"/>
    <x v="0"/>
    <x v="0"/>
    <x v="0"/>
    <x v="8"/>
    <x v="3"/>
    <x v="9"/>
    <x v="1"/>
  </r>
  <r>
    <x v="1724"/>
    <x v="4"/>
    <x v="3"/>
    <n v="21.5"/>
    <n v="150.5"/>
    <x v="63"/>
    <d v="2025-03-07T00:00:00"/>
    <x v="2"/>
    <x v="1"/>
    <x v="2"/>
    <x v="0"/>
    <x v="9"/>
    <x v="1"/>
    <x v="9"/>
    <x v="2"/>
  </r>
  <r>
    <x v="1725"/>
    <x v="12"/>
    <x v="13"/>
    <n v="133"/>
    <n v="798"/>
    <x v="63"/>
    <d v="2025-03-06T00:00:00"/>
    <x v="3"/>
    <x v="0"/>
    <x v="2"/>
    <x v="0"/>
    <x v="10"/>
    <x v="3"/>
    <x v="9"/>
    <x v="3"/>
  </r>
  <r>
    <x v="1726"/>
    <x v="8"/>
    <x v="1"/>
    <n v="47.7"/>
    <n v="95.4"/>
    <x v="63"/>
    <d v="2025-03-09T00:00:00"/>
    <x v="1"/>
    <x v="0"/>
    <x v="2"/>
    <x v="0"/>
    <x v="10"/>
    <x v="5"/>
    <x v="9"/>
    <x v="1"/>
  </r>
  <r>
    <x v="1727"/>
    <x v="16"/>
    <x v="2"/>
    <n v="58.1"/>
    <n v="174.3"/>
    <x v="63"/>
    <d v="2025-03-06T00:00:00"/>
    <x v="2"/>
    <x v="0"/>
    <x v="0"/>
    <x v="0"/>
    <x v="11"/>
    <x v="3"/>
    <x v="9"/>
    <x v="2"/>
  </r>
  <r>
    <x v="1728"/>
    <x v="12"/>
    <x v="12"/>
    <n v="66.599999999999994"/>
    <n v="266.39999999999998"/>
    <x v="63"/>
    <d v="2025-03-06T00:00:00"/>
    <x v="0"/>
    <x v="0"/>
    <x v="0"/>
    <x v="0"/>
    <x v="11"/>
    <x v="3"/>
    <x v="9"/>
    <x v="0"/>
  </r>
  <r>
    <x v="1729"/>
    <x v="9"/>
    <x v="0"/>
    <n v="24.1"/>
    <n v="24.1"/>
    <x v="63"/>
    <d v="2025-03-08T00:00:00"/>
    <x v="1"/>
    <x v="2"/>
    <x v="1"/>
    <x v="0"/>
    <x v="19"/>
    <x v="2"/>
    <x v="9"/>
    <x v="1"/>
  </r>
  <r>
    <x v="1730"/>
    <x v="10"/>
    <x v="9"/>
    <n v="51.5"/>
    <n v="257.5"/>
    <x v="63"/>
    <d v="2025-03-10T00:00:00"/>
    <x v="2"/>
    <x v="0"/>
    <x v="0"/>
    <x v="0"/>
    <x v="13"/>
    <x v="0"/>
    <x v="9"/>
    <x v="2"/>
  </r>
  <r>
    <x v="1731"/>
    <x v="0"/>
    <x v="5"/>
    <n v="25.8"/>
    <n v="283.8"/>
    <x v="63"/>
    <d v="2025-03-09T00:00:00"/>
    <x v="2"/>
    <x v="3"/>
    <x v="4"/>
    <x v="0"/>
    <x v="21"/>
    <x v="5"/>
    <x v="9"/>
    <x v="2"/>
  </r>
  <r>
    <x v="1732"/>
    <x v="9"/>
    <x v="12"/>
    <n v="47.7"/>
    <n v="190.8"/>
    <x v="63"/>
    <d v="2025-03-05T00:00:00"/>
    <x v="2"/>
    <x v="0"/>
    <x v="1"/>
    <x v="0"/>
    <x v="21"/>
    <x v="7"/>
    <x v="9"/>
    <x v="2"/>
  </r>
  <r>
    <x v="1733"/>
    <x v="7"/>
    <x v="9"/>
    <n v="73.599999999999994"/>
    <n v="368"/>
    <x v="63"/>
    <d v="2025-03-09T00:00:00"/>
    <x v="1"/>
    <x v="1"/>
    <x v="0"/>
    <x v="0"/>
    <x v="21"/>
    <x v="5"/>
    <x v="9"/>
    <x v="1"/>
  </r>
  <r>
    <x v="1734"/>
    <x v="5"/>
    <x v="3"/>
    <n v="91.2"/>
    <n v="638.4"/>
    <x v="63"/>
    <d v="2025-03-06T00:00:00"/>
    <x v="1"/>
    <x v="1"/>
    <x v="2"/>
    <x v="0"/>
    <x v="21"/>
    <x v="3"/>
    <x v="9"/>
    <x v="1"/>
  </r>
  <r>
    <x v="1735"/>
    <x v="1"/>
    <x v="8"/>
    <n v="36.200000000000003"/>
    <n v="289.60000000000002"/>
    <x v="63"/>
    <d v="2025-03-05T00:00:00"/>
    <x v="1"/>
    <x v="2"/>
    <x v="2"/>
    <x v="0"/>
    <x v="1"/>
    <x v="7"/>
    <x v="9"/>
    <x v="1"/>
  </r>
  <r>
    <x v="1736"/>
    <x v="9"/>
    <x v="8"/>
    <n v="98"/>
    <n v="784"/>
    <x v="63"/>
    <d v="2025-03-09T00:00:00"/>
    <x v="2"/>
    <x v="2"/>
    <x v="0"/>
    <x v="0"/>
    <x v="2"/>
    <x v="5"/>
    <x v="9"/>
    <x v="2"/>
  </r>
  <r>
    <x v="1737"/>
    <x v="1"/>
    <x v="8"/>
    <n v="43.6"/>
    <n v="348.8"/>
    <x v="63"/>
    <d v="2025-03-06T00:00:00"/>
    <x v="2"/>
    <x v="2"/>
    <x v="0"/>
    <x v="0"/>
    <x v="22"/>
    <x v="3"/>
    <x v="9"/>
    <x v="2"/>
  </r>
  <r>
    <x v="1738"/>
    <x v="8"/>
    <x v="7"/>
    <n v="37.799999999999997"/>
    <n v="378"/>
    <x v="63"/>
    <d v="2025-03-05T00:00:00"/>
    <x v="3"/>
    <x v="0"/>
    <x v="0"/>
    <x v="0"/>
    <x v="50"/>
    <x v="7"/>
    <x v="9"/>
    <x v="3"/>
  </r>
  <r>
    <x v="1739"/>
    <x v="17"/>
    <x v="9"/>
    <n v="63.7"/>
    <n v="318.5"/>
    <x v="63"/>
    <d v="2025-03-08T00:00:00"/>
    <x v="2"/>
    <x v="2"/>
    <x v="1"/>
    <x v="0"/>
    <x v="3"/>
    <x v="2"/>
    <x v="9"/>
    <x v="2"/>
  </r>
  <r>
    <x v="1740"/>
    <x v="5"/>
    <x v="11"/>
    <n v="62.9"/>
    <n v="566.1"/>
    <x v="63"/>
    <d v="2025-03-10T00:00:00"/>
    <x v="1"/>
    <x v="3"/>
    <x v="2"/>
    <x v="0"/>
    <x v="3"/>
    <x v="0"/>
    <x v="9"/>
    <x v="1"/>
  </r>
  <r>
    <x v="1741"/>
    <x v="6"/>
    <x v="3"/>
    <n v="61.7"/>
    <n v="431.90000000000003"/>
    <x v="63"/>
    <d v="2025-03-08T00:00:00"/>
    <x v="2"/>
    <x v="2"/>
    <x v="2"/>
    <x v="0"/>
    <x v="3"/>
    <x v="2"/>
    <x v="9"/>
    <x v="2"/>
  </r>
  <r>
    <x v="1742"/>
    <x v="18"/>
    <x v="21"/>
    <n v="36.5"/>
    <n v="511"/>
    <x v="63"/>
    <d v="2025-03-06T00:00:00"/>
    <x v="1"/>
    <x v="0"/>
    <x v="2"/>
    <x v="0"/>
    <x v="3"/>
    <x v="3"/>
    <x v="9"/>
    <x v="1"/>
  </r>
  <r>
    <x v="1743"/>
    <x v="11"/>
    <x v="2"/>
    <n v="98.6"/>
    <n v="295.79999999999995"/>
    <x v="63"/>
    <d v="2025-03-08T00:00:00"/>
    <x v="3"/>
    <x v="0"/>
    <x v="4"/>
    <x v="0"/>
    <x v="3"/>
    <x v="2"/>
    <x v="9"/>
    <x v="3"/>
  </r>
  <r>
    <x v="1744"/>
    <x v="8"/>
    <x v="1"/>
    <n v="19.2"/>
    <n v="38.4"/>
    <x v="63"/>
    <d v="2025-03-15T00:00:00"/>
    <x v="1"/>
    <x v="0"/>
    <x v="0"/>
    <x v="0"/>
    <x v="3"/>
    <x v="14"/>
    <x v="9"/>
    <x v="1"/>
  </r>
  <r>
    <x v="1745"/>
    <x v="3"/>
    <x v="13"/>
    <n v="55.6"/>
    <n v="333.6"/>
    <x v="63"/>
    <d v="2025-03-09T00:00:00"/>
    <x v="2"/>
    <x v="0"/>
    <x v="2"/>
    <x v="0"/>
    <x v="3"/>
    <x v="5"/>
    <x v="9"/>
    <x v="2"/>
  </r>
  <r>
    <x v="1746"/>
    <x v="5"/>
    <x v="13"/>
    <n v="56.4"/>
    <n v="338.4"/>
    <x v="63"/>
    <d v="2025-03-06T00:00:00"/>
    <x v="2"/>
    <x v="1"/>
    <x v="0"/>
    <x v="0"/>
    <x v="3"/>
    <x v="3"/>
    <x v="9"/>
    <x v="2"/>
  </r>
  <r>
    <x v="1747"/>
    <x v="4"/>
    <x v="8"/>
    <n v="43.1"/>
    <n v="344.8"/>
    <x v="63"/>
    <d v="2025-03-09T00:00:00"/>
    <x v="2"/>
    <x v="4"/>
    <x v="0"/>
    <x v="0"/>
    <x v="3"/>
    <x v="5"/>
    <x v="9"/>
    <x v="2"/>
  </r>
  <r>
    <x v="1748"/>
    <x v="1"/>
    <x v="1"/>
    <n v="77.3"/>
    <n v="154.6"/>
    <x v="63"/>
    <d v="2025-03-07T00:00:00"/>
    <x v="1"/>
    <x v="0"/>
    <x v="0"/>
    <x v="0"/>
    <x v="6"/>
    <x v="1"/>
    <x v="9"/>
    <x v="1"/>
  </r>
  <r>
    <x v="1749"/>
    <x v="9"/>
    <x v="8"/>
    <n v="38.299999999999997"/>
    <n v="306.39999999999998"/>
    <x v="63"/>
    <d v="2025-03-06T00:00:00"/>
    <x v="1"/>
    <x v="0"/>
    <x v="0"/>
    <x v="0"/>
    <x v="7"/>
    <x v="3"/>
    <x v="9"/>
    <x v="1"/>
  </r>
  <r>
    <x v="1750"/>
    <x v="0"/>
    <x v="3"/>
    <n v="16.8"/>
    <n v="117.60000000000001"/>
    <x v="63"/>
    <d v="2025-03-08T00:00:00"/>
    <x v="1"/>
    <x v="2"/>
    <x v="1"/>
    <x v="0"/>
    <x v="8"/>
    <x v="2"/>
    <x v="9"/>
    <x v="1"/>
  </r>
  <r>
    <x v="1751"/>
    <x v="2"/>
    <x v="2"/>
    <n v="63.2"/>
    <n v="189.60000000000002"/>
    <x v="63"/>
    <d v="2025-03-06T00:00:00"/>
    <x v="2"/>
    <x v="0"/>
    <x v="2"/>
    <x v="0"/>
    <x v="8"/>
    <x v="3"/>
    <x v="9"/>
    <x v="2"/>
  </r>
  <r>
    <x v="1752"/>
    <x v="14"/>
    <x v="44"/>
    <n v="39.700000000000003"/>
    <n v="913.1"/>
    <x v="63"/>
    <d v="2025-03-06T00:00:00"/>
    <x v="1"/>
    <x v="0"/>
    <x v="0"/>
    <x v="0"/>
    <x v="8"/>
    <x v="3"/>
    <x v="9"/>
    <x v="1"/>
  </r>
  <r>
    <x v="1753"/>
    <x v="10"/>
    <x v="2"/>
    <n v="45.8"/>
    <n v="137.39999999999998"/>
    <x v="63"/>
    <d v="2025-03-06T00:00:00"/>
    <x v="2"/>
    <x v="1"/>
    <x v="2"/>
    <x v="0"/>
    <x v="8"/>
    <x v="3"/>
    <x v="9"/>
    <x v="2"/>
  </r>
  <r>
    <x v="1754"/>
    <x v="0"/>
    <x v="13"/>
    <n v="12.4"/>
    <n v="74.400000000000006"/>
    <x v="63"/>
    <d v="2025-03-08T00:00:00"/>
    <x v="1"/>
    <x v="0"/>
    <x v="0"/>
    <x v="0"/>
    <x v="8"/>
    <x v="2"/>
    <x v="9"/>
    <x v="1"/>
  </r>
  <r>
    <x v="1755"/>
    <x v="14"/>
    <x v="2"/>
    <n v="50.8"/>
    <n v="152.39999999999998"/>
    <x v="64"/>
    <d v="2025-03-06T00:00:00"/>
    <x v="2"/>
    <x v="4"/>
    <x v="0"/>
    <x v="0"/>
    <x v="17"/>
    <x v="7"/>
    <x v="9"/>
    <x v="2"/>
  </r>
  <r>
    <x v="1756"/>
    <x v="9"/>
    <x v="0"/>
    <n v="76"/>
    <n v="76"/>
    <x v="64"/>
    <d v="2025-03-10T00:00:00"/>
    <x v="3"/>
    <x v="2"/>
    <x v="2"/>
    <x v="0"/>
    <x v="17"/>
    <x v="5"/>
    <x v="9"/>
    <x v="3"/>
  </r>
  <r>
    <x v="1757"/>
    <x v="1"/>
    <x v="1"/>
    <n v="51.9"/>
    <n v="103.8"/>
    <x v="64"/>
    <d v="2025-03-07T00:00:00"/>
    <x v="1"/>
    <x v="1"/>
    <x v="2"/>
    <x v="0"/>
    <x v="26"/>
    <x v="3"/>
    <x v="9"/>
    <x v="1"/>
  </r>
  <r>
    <x v="1758"/>
    <x v="2"/>
    <x v="1"/>
    <n v="93.4"/>
    <n v="186.8"/>
    <x v="64"/>
    <d v="2025-03-13T00:00:00"/>
    <x v="1"/>
    <x v="0"/>
    <x v="3"/>
    <x v="0"/>
    <x v="11"/>
    <x v="6"/>
    <x v="9"/>
    <x v="1"/>
  </r>
  <r>
    <x v="1759"/>
    <x v="7"/>
    <x v="13"/>
    <n v="30.8"/>
    <n v="184.8"/>
    <x v="64"/>
    <d v="2025-03-09T00:00:00"/>
    <x v="2"/>
    <x v="1"/>
    <x v="0"/>
    <x v="0"/>
    <x v="11"/>
    <x v="2"/>
    <x v="9"/>
    <x v="2"/>
  </r>
  <r>
    <x v="1760"/>
    <x v="2"/>
    <x v="0"/>
    <n v="143.19999999999999"/>
    <n v="143.19999999999999"/>
    <x v="64"/>
    <d v="2025-03-09T00:00:00"/>
    <x v="1"/>
    <x v="2"/>
    <x v="0"/>
    <x v="0"/>
    <x v="11"/>
    <x v="2"/>
    <x v="9"/>
    <x v="1"/>
  </r>
  <r>
    <x v="1761"/>
    <x v="6"/>
    <x v="5"/>
    <n v="40.4"/>
    <n v="444.4"/>
    <x v="64"/>
    <d v="2025-03-08T00:00:00"/>
    <x v="1"/>
    <x v="2"/>
    <x v="2"/>
    <x v="0"/>
    <x v="18"/>
    <x v="1"/>
    <x v="9"/>
    <x v="1"/>
  </r>
  <r>
    <x v="1762"/>
    <x v="2"/>
    <x v="10"/>
    <n v="131.5"/>
    <n v="2498.5"/>
    <x v="64"/>
    <d v="2025-03-08T00:00:00"/>
    <x v="1"/>
    <x v="1"/>
    <x v="1"/>
    <x v="0"/>
    <x v="18"/>
    <x v="1"/>
    <x v="9"/>
    <x v="1"/>
  </r>
  <r>
    <x v="1763"/>
    <x v="18"/>
    <x v="3"/>
    <n v="61.6"/>
    <n v="431.2"/>
    <x v="64"/>
    <d v="2025-03-07T00:00:00"/>
    <x v="1"/>
    <x v="2"/>
    <x v="0"/>
    <x v="0"/>
    <x v="21"/>
    <x v="3"/>
    <x v="9"/>
    <x v="1"/>
  </r>
  <r>
    <x v="1764"/>
    <x v="9"/>
    <x v="9"/>
    <n v="32.700000000000003"/>
    <n v="163.5"/>
    <x v="64"/>
    <d v="2025-03-08T00:00:00"/>
    <x v="1"/>
    <x v="2"/>
    <x v="0"/>
    <x v="0"/>
    <x v="1"/>
    <x v="1"/>
    <x v="9"/>
    <x v="1"/>
  </r>
  <r>
    <x v="1765"/>
    <x v="0"/>
    <x v="7"/>
    <n v="13.7"/>
    <n v="137"/>
    <x v="64"/>
    <d v="2025-03-07T00:00:00"/>
    <x v="1"/>
    <x v="0"/>
    <x v="2"/>
    <x v="0"/>
    <x v="3"/>
    <x v="3"/>
    <x v="9"/>
    <x v="1"/>
  </r>
  <r>
    <x v="1766"/>
    <x v="0"/>
    <x v="12"/>
    <n v="32.1"/>
    <n v="128.4"/>
    <x v="64"/>
    <d v="2025-03-07T00:00:00"/>
    <x v="1"/>
    <x v="4"/>
    <x v="1"/>
    <x v="0"/>
    <x v="3"/>
    <x v="3"/>
    <x v="9"/>
    <x v="1"/>
  </r>
  <r>
    <x v="1767"/>
    <x v="14"/>
    <x v="8"/>
    <n v="12"/>
    <n v="96"/>
    <x v="64"/>
    <d v="2025-03-07T00:00:00"/>
    <x v="1"/>
    <x v="1"/>
    <x v="0"/>
    <x v="0"/>
    <x v="24"/>
    <x v="3"/>
    <x v="9"/>
    <x v="1"/>
  </r>
  <r>
    <x v="1768"/>
    <x v="12"/>
    <x v="0"/>
    <n v="64.3"/>
    <n v="64.3"/>
    <x v="64"/>
    <d v="2025-03-08T00:00:00"/>
    <x v="2"/>
    <x v="2"/>
    <x v="2"/>
    <x v="0"/>
    <x v="6"/>
    <x v="1"/>
    <x v="9"/>
    <x v="2"/>
  </r>
  <r>
    <x v="1769"/>
    <x v="1"/>
    <x v="2"/>
    <n v="58.2"/>
    <n v="174.60000000000002"/>
    <x v="64"/>
    <d v="2025-03-08T00:00:00"/>
    <x v="2"/>
    <x v="1"/>
    <x v="2"/>
    <x v="0"/>
    <x v="6"/>
    <x v="1"/>
    <x v="9"/>
    <x v="2"/>
  </r>
  <r>
    <x v="1770"/>
    <x v="6"/>
    <x v="12"/>
    <n v="59.2"/>
    <n v="236.8"/>
    <x v="64"/>
    <d v="2025-03-06T00:00:00"/>
    <x v="1"/>
    <x v="1"/>
    <x v="2"/>
    <x v="0"/>
    <x v="6"/>
    <x v="7"/>
    <x v="9"/>
    <x v="1"/>
  </r>
  <r>
    <x v="1771"/>
    <x v="10"/>
    <x v="5"/>
    <n v="35.6"/>
    <n v="391.6"/>
    <x v="64"/>
    <d v="2025-03-13T00:00:00"/>
    <x v="1"/>
    <x v="0"/>
    <x v="2"/>
    <x v="0"/>
    <x v="8"/>
    <x v="6"/>
    <x v="9"/>
    <x v="1"/>
  </r>
  <r>
    <x v="1772"/>
    <x v="16"/>
    <x v="8"/>
    <n v="37"/>
    <n v="296"/>
    <x v="64"/>
    <d v="2025-03-10T00:00:00"/>
    <x v="2"/>
    <x v="2"/>
    <x v="1"/>
    <x v="0"/>
    <x v="8"/>
    <x v="5"/>
    <x v="9"/>
    <x v="2"/>
  </r>
  <r>
    <x v="1773"/>
    <x v="1"/>
    <x v="15"/>
    <n v="80.8"/>
    <n v="1050.3999999999999"/>
    <x v="64"/>
    <d v="2025-03-08T00:00:00"/>
    <x v="2"/>
    <x v="0"/>
    <x v="0"/>
    <x v="0"/>
    <x v="8"/>
    <x v="1"/>
    <x v="9"/>
    <x v="2"/>
  </r>
  <r>
    <x v="1774"/>
    <x v="8"/>
    <x v="1"/>
    <n v="63.2"/>
    <n v="126.4"/>
    <x v="64"/>
    <d v="2025-03-07T00:00:00"/>
    <x v="1"/>
    <x v="0"/>
    <x v="1"/>
    <x v="0"/>
    <x v="8"/>
    <x v="3"/>
    <x v="9"/>
    <x v="1"/>
  </r>
  <r>
    <x v="1775"/>
    <x v="3"/>
    <x v="1"/>
    <n v="40.799999999999997"/>
    <n v="81.599999999999994"/>
    <x v="64"/>
    <d v="2025-03-08T00:00:00"/>
    <x v="1"/>
    <x v="0"/>
    <x v="1"/>
    <x v="0"/>
    <x v="17"/>
    <x v="1"/>
    <x v="9"/>
    <x v="1"/>
  </r>
  <r>
    <x v="1776"/>
    <x v="13"/>
    <x v="13"/>
    <n v="25.7"/>
    <n v="154.19999999999999"/>
    <x v="64"/>
    <d v="2025-03-08T00:00:00"/>
    <x v="1"/>
    <x v="4"/>
    <x v="0"/>
    <x v="0"/>
    <x v="18"/>
    <x v="1"/>
    <x v="9"/>
    <x v="1"/>
  </r>
  <r>
    <x v="1777"/>
    <x v="16"/>
    <x v="1"/>
    <n v="49.9"/>
    <n v="99.8"/>
    <x v="64"/>
    <d v="2025-03-09T00:00:00"/>
    <x v="1"/>
    <x v="0"/>
    <x v="0"/>
    <x v="0"/>
    <x v="20"/>
    <x v="2"/>
    <x v="9"/>
    <x v="1"/>
  </r>
  <r>
    <x v="1778"/>
    <x v="8"/>
    <x v="1"/>
    <n v="20.2"/>
    <n v="40.4"/>
    <x v="64"/>
    <d v="2025-03-08T00:00:00"/>
    <x v="2"/>
    <x v="3"/>
    <x v="0"/>
    <x v="0"/>
    <x v="21"/>
    <x v="1"/>
    <x v="9"/>
    <x v="2"/>
  </r>
  <r>
    <x v="1779"/>
    <x v="6"/>
    <x v="2"/>
    <n v="48.4"/>
    <n v="145.19999999999999"/>
    <x v="64"/>
    <d v="2025-03-11T00:00:00"/>
    <x v="2"/>
    <x v="0"/>
    <x v="2"/>
    <x v="0"/>
    <x v="21"/>
    <x v="0"/>
    <x v="9"/>
    <x v="2"/>
  </r>
  <r>
    <x v="1780"/>
    <x v="6"/>
    <x v="1"/>
    <n v="81"/>
    <n v="162"/>
    <x v="64"/>
    <d v="2025-03-07T00:00:00"/>
    <x v="2"/>
    <x v="1"/>
    <x v="2"/>
    <x v="0"/>
    <x v="21"/>
    <x v="3"/>
    <x v="9"/>
    <x v="2"/>
  </r>
  <r>
    <x v="1781"/>
    <x v="8"/>
    <x v="13"/>
    <n v="19.899999999999999"/>
    <n v="119.39999999999999"/>
    <x v="64"/>
    <d v="2025-03-09T00:00:00"/>
    <x v="2"/>
    <x v="0"/>
    <x v="1"/>
    <x v="0"/>
    <x v="22"/>
    <x v="2"/>
    <x v="9"/>
    <x v="2"/>
  </r>
  <r>
    <x v="1782"/>
    <x v="4"/>
    <x v="12"/>
    <n v="32.200000000000003"/>
    <n v="128.80000000000001"/>
    <x v="64"/>
    <d v="2025-03-16T00:00:00"/>
    <x v="1"/>
    <x v="0"/>
    <x v="0"/>
    <x v="0"/>
    <x v="22"/>
    <x v="14"/>
    <x v="9"/>
    <x v="1"/>
  </r>
  <r>
    <x v="1783"/>
    <x v="5"/>
    <x v="2"/>
    <n v="76.8"/>
    <n v="230.39999999999998"/>
    <x v="64"/>
    <d v="2025-03-07T00:00:00"/>
    <x v="2"/>
    <x v="0"/>
    <x v="1"/>
    <x v="0"/>
    <x v="3"/>
    <x v="3"/>
    <x v="9"/>
    <x v="2"/>
  </r>
  <r>
    <x v="1784"/>
    <x v="6"/>
    <x v="1"/>
    <n v="41.9"/>
    <n v="83.8"/>
    <x v="64"/>
    <d v="2025-03-08T00:00:00"/>
    <x v="2"/>
    <x v="0"/>
    <x v="0"/>
    <x v="0"/>
    <x v="3"/>
    <x v="1"/>
    <x v="9"/>
    <x v="2"/>
  </r>
  <r>
    <x v="1785"/>
    <x v="0"/>
    <x v="3"/>
    <n v="34"/>
    <n v="238"/>
    <x v="64"/>
    <d v="2025-03-08T00:00:00"/>
    <x v="2"/>
    <x v="1"/>
    <x v="2"/>
    <x v="0"/>
    <x v="3"/>
    <x v="1"/>
    <x v="9"/>
    <x v="2"/>
  </r>
  <r>
    <x v="1786"/>
    <x v="7"/>
    <x v="3"/>
    <n v="61.3"/>
    <n v="429.09999999999997"/>
    <x v="64"/>
    <d v="2025-03-06T00:00:00"/>
    <x v="2"/>
    <x v="4"/>
    <x v="2"/>
    <x v="0"/>
    <x v="3"/>
    <x v="7"/>
    <x v="9"/>
    <x v="2"/>
  </r>
  <r>
    <x v="1787"/>
    <x v="9"/>
    <x v="0"/>
    <n v="54.7"/>
    <n v="54.7"/>
    <x v="65"/>
    <d v="2025-03-08T00:00:00"/>
    <x v="1"/>
    <x v="0"/>
    <x v="1"/>
    <x v="0"/>
    <x v="3"/>
    <x v="3"/>
    <x v="9"/>
    <x v="1"/>
  </r>
  <r>
    <x v="1788"/>
    <x v="6"/>
    <x v="7"/>
    <n v="84.7"/>
    <n v="847"/>
    <x v="65"/>
    <d v="2025-03-11T00:00:00"/>
    <x v="2"/>
    <x v="0"/>
    <x v="0"/>
    <x v="0"/>
    <x v="3"/>
    <x v="5"/>
    <x v="9"/>
    <x v="2"/>
  </r>
  <r>
    <x v="1789"/>
    <x v="1"/>
    <x v="2"/>
    <n v="93.4"/>
    <n v="280.20000000000005"/>
    <x v="65"/>
    <d v="2025-03-11T00:00:00"/>
    <x v="2"/>
    <x v="3"/>
    <x v="0"/>
    <x v="0"/>
    <x v="3"/>
    <x v="5"/>
    <x v="9"/>
    <x v="2"/>
  </r>
  <r>
    <x v="1790"/>
    <x v="8"/>
    <x v="9"/>
    <n v="27"/>
    <n v="135"/>
    <x v="65"/>
    <d v="2025-03-10T00:00:00"/>
    <x v="1"/>
    <x v="0"/>
    <x v="1"/>
    <x v="0"/>
    <x v="3"/>
    <x v="2"/>
    <x v="9"/>
    <x v="1"/>
  </r>
  <r>
    <x v="1791"/>
    <x v="0"/>
    <x v="12"/>
    <n v="10.9"/>
    <n v="43.6"/>
    <x v="65"/>
    <d v="2025-03-08T00:00:00"/>
    <x v="1"/>
    <x v="2"/>
    <x v="0"/>
    <x v="0"/>
    <x v="3"/>
    <x v="3"/>
    <x v="9"/>
    <x v="1"/>
  </r>
  <r>
    <x v="1792"/>
    <x v="16"/>
    <x v="2"/>
    <n v="48"/>
    <n v="144"/>
    <x v="65"/>
    <d v="2025-03-12T00:00:00"/>
    <x v="2"/>
    <x v="4"/>
    <x v="0"/>
    <x v="0"/>
    <x v="3"/>
    <x v="0"/>
    <x v="9"/>
    <x v="2"/>
  </r>
  <r>
    <x v="1793"/>
    <x v="5"/>
    <x v="1"/>
    <n v="67.900000000000006"/>
    <n v="135.80000000000001"/>
    <x v="65"/>
    <d v="2025-03-08T00:00:00"/>
    <x v="1"/>
    <x v="0"/>
    <x v="2"/>
    <x v="0"/>
    <x v="23"/>
    <x v="3"/>
    <x v="9"/>
    <x v="1"/>
  </r>
  <r>
    <x v="1794"/>
    <x v="4"/>
    <x v="2"/>
    <n v="36"/>
    <n v="108"/>
    <x v="65"/>
    <d v="2025-03-08T00:00:00"/>
    <x v="1"/>
    <x v="1"/>
    <x v="0"/>
    <x v="0"/>
    <x v="6"/>
    <x v="3"/>
    <x v="9"/>
    <x v="1"/>
  </r>
  <r>
    <x v="1795"/>
    <x v="2"/>
    <x v="0"/>
    <n v="128.80000000000001"/>
    <n v="128.80000000000001"/>
    <x v="65"/>
    <d v="2025-03-08T00:00:00"/>
    <x v="1"/>
    <x v="4"/>
    <x v="2"/>
    <x v="0"/>
    <x v="6"/>
    <x v="3"/>
    <x v="9"/>
    <x v="1"/>
  </r>
  <r>
    <x v="1796"/>
    <x v="18"/>
    <x v="3"/>
    <n v="33.299999999999997"/>
    <n v="233.09999999999997"/>
    <x v="65"/>
    <d v="2025-03-08T00:00:00"/>
    <x v="2"/>
    <x v="3"/>
    <x v="0"/>
    <x v="0"/>
    <x v="8"/>
    <x v="3"/>
    <x v="9"/>
    <x v="2"/>
  </r>
  <r>
    <x v="1797"/>
    <x v="10"/>
    <x v="2"/>
    <n v="37.799999999999997"/>
    <n v="113.39999999999999"/>
    <x v="65"/>
    <d v="2025-03-09T00:00:00"/>
    <x v="1"/>
    <x v="1"/>
    <x v="2"/>
    <x v="0"/>
    <x v="8"/>
    <x v="1"/>
    <x v="9"/>
    <x v="1"/>
  </r>
  <r>
    <x v="1798"/>
    <x v="5"/>
    <x v="2"/>
    <n v="26"/>
    <n v="78"/>
    <x v="65"/>
    <d v="2025-03-12T00:00:00"/>
    <x v="2"/>
    <x v="0"/>
    <x v="0"/>
    <x v="0"/>
    <x v="8"/>
    <x v="0"/>
    <x v="9"/>
    <x v="2"/>
  </r>
  <r>
    <x v="1799"/>
    <x v="8"/>
    <x v="10"/>
    <n v="28.3"/>
    <n v="537.70000000000005"/>
    <x v="65"/>
    <d v="2025-03-08T00:00:00"/>
    <x v="2"/>
    <x v="3"/>
    <x v="4"/>
    <x v="0"/>
    <x v="8"/>
    <x v="3"/>
    <x v="9"/>
    <x v="2"/>
  </r>
  <r>
    <x v="1800"/>
    <x v="8"/>
    <x v="12"/>
    <n v="31.3"/>
    <n v="125.2"/>
    <x v="65"/>
    <d v="2025-03-07T00:00:00"/>
    <x v="2"/>
    <x v="0"/>
    <x v="0"/>
    <x v="0"/>
    <x v="8"/>
    <x v="7"/>
    <x v="9"/>
    <x v="2"/>
  </r>
  <r>
    <x v="1801"/>
    <x v="7"/>
    <x v="2"/>
    <n v="69.5"/>
    <n v="208.5"/>
    <x v="65"/>
    <d v="2025-03-08T00:00:00"/>
    <x v="2"/>
    <x v="3"/>
    <x v="2"/>
    <x v="0"/>
    <x v="8"/>
    <x v="3"/>
    <x v="9"/>
    <x v="2"/>
  </r>
  <r>
    <x v="1802"/>
    <x v="0"/>
    <x v="1"/>
    <n v="16.7"/>
    <n v="33.4"/>
    <x v="65"/>
    <d v="2025-03-08T00:00:00"/>
    <x v="2"/>
    <x v="3"/>
    <x v="1"/>
    <x v="0"/>
    <x v="8"/>
    <x v="3"/>
    <x v="9"/>
    <x v="2"/>
  </r>
  <r>
    <x v="1803"/>
    <x v="9"/>
    <x v="1"/>
    <n v="62.6"/>
    <n v="125.2"/>
    <x v="65"/>
    <d v="2025-03-08T00:00:00"/>
    <x v="1"/>
    <x v="2"/>
    <x v="2"/>
    <x v="0"/>
    <x v="9"/>
    <x v="3"/>
    <x v="9"/>
    <x v="1"/>
  </r>
  <r>
    <x v="1804"/>
    <x v="7"/>
    <x v="0"/>
    <n v="81.2"/>
    <n v="81.2"/>
    <x v="65"/>
    <d v="2025-03-13T00:00:00"/>
    <x v="1"/>
    <x v="4"/>
    <x v="4"/>
    <x v="0"/>
    <x v="9"/>
    <x v="4"/>
    <x v="9"/>
    <x v="1"/>
  </r>
  <r>
    <x v="1805"/>
    <x v="0"/>
    <x v="7"/>
    <n v="12.7"/>
    <n v="127"/>
    <x v="65"/>
    <d v="2025-03-08T00:00:00"/>
    <x v="2"/>
    <x v="0"/>
    <x v="2"/>
    <x v="0"/>
    <x v="9"/>
    <x v="3"/>
    <x v="9"/>
    <x v="2"/>
  </r>
  <r>
    <x v="1806"/>
    <x v="7"/>
    <x v="12"/>
    <n v="77.7"/>
    <n v="310.8"/>
    <x v="66"/>
    <d v="2025-03-12T00:00:00"/>
    <x v="1"/>
    <x v="1"/>
    <x v="0"/>
    <x v="0"/>
    <x v="11"/>
    <x v="5"/>
    <x v="9"/>
    <x v="1"/>
  </r>
  <r>
    <x v="1807"/>
    <x v="5"/>
    <x v="1"/>
    <n v="37.299999999999997"/>
    <n v="74.599999999999994"/>
    <x v="66"/>
    <d v="2025-03-09T00:00:00"/>
    <x v="2"/>
    <x v="0"/>
    <x v="2"/>
    <x v="0"/>
    <x v="18"/>
    <x v="3"/>
    <x v="9"/>
    <x v="2"/>
  </r>
  <r>
    <x v="1808"/>
    <x v="10"/>
    <x v="12"/>
    <n v="35.6"/>
    <n v="142.4"/>
    <x v="66"/>
    <d v="2025-03-10T00:00:00"/>
    <x v="2"/>
    <x v="1"/>
    <x v="1"/>
    <x v="0"/>
    <x v="19"/>
    <x v="1"/>
    <x v="9"/>
    <x v="2"/>
  </r>
  <r>
    <x v="1809"/>
    <x v="2"/>
    <x v="2"/>
    <n v="95"/>
    <n v="285"/>
    <x v="66"/>
    <d v="2025-03-12T00:00:00"/>
    <x v="2"/>
    <x v="2"/>
    <x v="2"/>
    <x v="0"/>
    <x v="56"/>
    <x v="5"/>
    <x v="9"/>
    <x v="2"/>
  </r>
  <r>
    <x v="1810"/>
    <x v="2"/>
    <x v="12"/>
    <n v="172.1"/>
    <n v="688.4"/>
    <x v="66"/>
    <d v="2025-03-12T00:00:00"/>
    <x v="3"/>
    <x v="2"/>
    <x v="2"/>
    <x v="0"/>
    <x v="21"/>
    <x v="5"/>
    <x v="9"/>
    <x v="3"/>
  </r>
  <r>
    <x v="1811"/>
    <x v="2"/>
    <x v="1"/>
    <n v="233"/>
    <n v="466"/>
    <x v="66"/>
    <d v="2025-03-11T00:00:00"/>
    <x v="2"/>
    <x v="1"/>
    <x v="0"/>
    <x v="0"/>
    <x v="21"/>
    <x v="2"/>
    <x v="9"/>
    <x v="2"/>
  </r>
  <r>
    <x v="1812"/>
    <x v="0"/>
    <x v="0"/>
    <n v="43.5"/>
    <n v="43.5"/>
    <x v="66"/>
    <d v="2025-03-09T00:00:00"/>
    <x v="2"/>
    <x v="2"/>
    <x v="2"/>
    <x v="0"/>
    <x v="21"/>
    <x v="3"/>
    <x v="9"/>
    <x v="2"/>
  </r>
  <r>
    <x v="1813"/>
    <x v="9"/>
    <x v="1"/>
    <n v="47.8"/>
    <n v="95.6"/>
    <x v="66"/>
    <d v="2025-03-11T00:00:00"/>
    <x v="1"/>
    <x v="4"/>
    <x v="2"/>
    <x v="0"/>
    <x v="1"/>
    <x v="2"/>
    <x v="9"/>
    <x v="1"/>
  </r>
  <r>
    <x v="1814"/>
    <x v="12"/>
    <x v="1"/>
    <n v="65.8"/>
    <n v="131.6"/>
    <x v="66"/>
    <d v="2025-03-10T00:00:00"/>
    <x v="2"/>
    <x v="0"/>
    <x v="3"/>
    <x v="0"/>
    <x v="33"/>
    <x v="1"/>
    <x v="9"/>
    <x v="2"/>
  </r>
  <r>
    <x v="1815"/>
    <x v="15"/>
    <x v="5"/>
    <n v="38.700000000000003"/>
    <n v="425.70000000000005"/>
    <x v="66"/>
    <d v="2025-03-08T00:00:00"/>
    <x v="1"/>
    <x v="0"/>
    <x v="0"/>
    <x v="0"/>
    <x v="22"/>
    <x v="7"/>
    <x v="9"/>
    <x v="1"/>
  </r>
  <r>
    <x v="1816"/>
    <x v="3"/>
    <x v="12"/>
    <n v="55.7"/>
    <n v="222.8"/>
    <x v="66"/>
    <d v="2025-03-10T00:00:00"/>
    <x v="3"/>
    <x v="0"/>
    <x v="1"/>
    <x v="0"/>
    <x v="22"/>
    <x v="1"/>
    <x v="9"/>
    <x v="3"/>
  </r>
  <r>
    <x v="1817"/>
    <x v="7"/>
    <x v="1"/>
    <n v="102.4"/>
    <n v="204.8"/>
    <x v="66"/>
    <d v="2025-03-08T00:00:00"/>
    <x v="2"/>
    <x v="1"/>
    <x v="0"/>
    <x v="0"/>
    <x v="3"/>
    <x v="7"/>
    <x v="9"/>
    <x v="2"/>
  </r>
  <r>
    <x v="1818"/>
    <x v="1"/>
    <x v="0"/>
    <n v="92"/>
    <n v="92"/>
    <x v="66"/>
    <d v="2025-03-12T00:00:00"/>
    <x v="0"/>
    <x v="2"/>
    <x v="0"/>
    <x v="0"/>
    <x v="3"/>
    <x v="5"/>
    <x v="9"/>
    <x v="0"/>
  </r>
  <r>
    <x v="1819"/>
    <x v="6"/>
    <x v="12"/>
    <n v="75.900000000000006"/>
    <n v="303.60000000000002"/>
    <x v="66"/>
    <d v="2025-03-10T00:00:00"/>
    <x v="2"/>
    <x v="1"/>
    <x v="0"/>
    <x v="0"/>
    <x v="3"/>
    <x v="1"/>
    <x v="9"/>
    <x v="2"/>
  </r>
  <r>
    <x v="1820"/>
    <x v="1"/>
    <x v="12"/>
    <n v="36.200000000000003"/>
    <n v="144.80000000000001"/>
    <x v="66"/>
    <d v="2025-03-09T00:00:00"/>
    <x v="2"/>
    <x v="1"/>
    <x v="0"/>
    <x v="0"/>
    <x v="3"/>
    <x v="3"/>
    <x v="9"/>
    <x v="2"/>
  </r>
  <r>
    <x v="1821"/>
    <x v="6"/>
    <x v="45"/>
    <n v="83.5"/>
    <n v="7264.5"/>
    <x v="66"/>
    <d v="2025-03-10T00:00:00"/>
    <x v="0"/>
    <x v="3"/>
    <x v="0"/>
    <x v="0"/>
    <x v="3"/>
    <x v="1"/>
    <x v="9"/>
    <x v="0"/>
  </r>
  <r>
    <x v="1822"/>
    <x v="19"/>
    <x v="4"/>
    <n v="52.4"/>
    <n v="628.79999999999995"/>
    <x v="66"/>
    <d v="2025-03-08T00:00:00"/>
    <x v="1"/>
    <x v="2"/>
    <x v="0"/>
    <x v="0"/>
    <x v="3"/>
    <x v="7"/>
    <x v="9"/>
    <x v="1"/>
  </r>
  <r>
    <x v="1823"/>
    <x v="12"/>
    <x v="2"/>
    <n v="69.5"/>
    <n v="208.5"/>
    <x v="66"/>
    <d v="2025-03-09T00:00:00"/>
    <x v="3"/>
    <x v="4"/>
    <x v="0"/>
    <x v="0"/>
    <x v="3"/>
    <x v="3"/>
    <x v="9"/>
    <x v="3"/>
  </r>
  <r>
    <x v="1824"/>
    <x v="0"/>
    <x v="0"/>
    <n v="15.5"/>
    <n v="15.5"/>
    <x v="66"/>
    <d v="2025-03-10T00:00:00"/>
    <x v="1"/>
    <x v="0"/>
    <x v="0"/>
    <x v="0"/>
    <x v="3"/>
    <x v="1"/>
    <x v="9"/>
    <x v="1"/>
  </r>
  <r>
    <x v="1825"/>
    <x v="4"/>
    <x v="12"/>
    <n v="35.200000000000003"/>
    <n v="140.80000000000001"/>
    <x v="66"/>
    <d v="2025-03-09T00:00:00"/>
    <x v="2"/>
    <x v="2"/>
    <x v="2"/>
    <x v="0"/>
    <x v="3"/>
    <x v="3"/>
    <x v="9"/>
    <x v="2"/>
  </r>
  <r>
    <x v="1826"/>
    <x v="8"/>
    <x v="13"/>
    <n v="34.6"/>
    <n v="207.60000000000002"/>
    <x v="66"/>
    <d v="2025-03-09T00:00:00"/>
    <x v="0"/>
    <x v="0"/>
    <x v="1"/>
    <x v="0"/>
    <x v="3"/>
    <x v="3"/>
    <x v="9"/>
    <x v="0"/>
  </r>
  <r>
    <x v="1827"/>
    <x v="4"/>
    <x v="0"/>
    <n v="21.3"/>
    <n v="21.3"/>
    <x v="67"/>
    <d v="2025-03-10T00:00:00"/>
    <x v="1"/>
    <x v="2"/>
    <x v="1"/>
    <x v="0"/>
    <x v="3"/>
    <x v="3"/>
    <x v="10"/>
    <x v="1"/>
  </r>
  <r>
    <x v="1828"/>
    <x v="6"/>
    <x v="1"/>
    <n v="136.5"/>
    <n v="273"/>
    <x v="67"/>
    <d v="2025-03-15T00:00:00"/>
    <x v="2"/>
    <x v="0"/>
    <x v="0"/>
    <x v="0"/>
    <x v="37"/>
    <x v="4"/>
    <x v="10"/>
    <x v="2"/>
  </r>
  <r>
    <x v="1829"/>
    <x v="9"/>
    <x v="3"/>
    <n v="30.7"/>
    <n v="214.9"/>
    <x v="67"/>
    <d v="2025-03-10T00:00:00"/>
    <x v="1"/>
    <x v="2"/>
    <x v="2"/>
    <x v="0"/>
    <x v="25"/>
    <x v="3"/>
    <x v="10"/>
    <x v="1"/>
  </r>
  <r>
    <x v="1830"/>
    <x v="1"/>
    <x v="1"/>
    <n v="61.6"/>
    <n v="123.2"/>
    <x v="67"/>
    <d v="2025-03-10T00:00:00"/>
    <x v="2"/>
    <x v="2"/>
    <x v="2"/>
    <x v="0"/>
    <x v="23"/>
    <x v="3"/>
    <x v="10"/>
    <x v="2"/>
  </r>
  <r>
    <x v="1831"/>
    <x v="6"/>
    <x v="12"/>
    <n v="54.3"/>
    <n v="217.2"/>
    <x v="67"/>
    <d v="2025-03-11T00:00:00"/>
    <x v="0"/>
    <x v="4"/>
    <x v="0"/>
    <x v="0"/>
    <x v="7"/>
    <x v="1"/>
    <x v="10"/>
    <x v="0"/>
  </r>
  <r>
    <x v="1832"/>
    <x v="1"/>
    <x v="1"/>
    <n v="44.1"/>
    <n v="88.2"/>
    <x v="67"/>
    <d v="2025-03-21T00:00:00"/>
    <x v="2"/>
    <x v="0"/>
    <x v="2"/>
    <x v="0"/>
    <x v="8"/>
    <x v="13"/>
    <x v="10"/>
    <x v="2"/>
  </r>
  <r>
    <x v="1833"/>
    <x v="8"/>
    <x v="12"/>
    <n v="43.5"/>
    <n v="174"/>
    <x v="67"/>
    <d v="2025-03-15T00:00:00"/>
    <x v="1"/>
    <x v="3"/>
    <x v="0"/>
    <x v="0"/>
    <x v="8"/>
    <x v="4"/>
    <x v="10"/>
    <x v="1"/>
  </r>
  <r>
    <x v="1834"/>
    <x v="8"/>
    <x v="2"/>
    <n v="48.2"/>
    <n v="144.60000000000002"/>
    <x v="67"/>
    <d v="2025-03-13T00:00:00"/>
    <x v="1"/>
    <x v="3"/>
    <x v="1"/>
    <x v="0"/>
    <x v="8"/>
    <x v="5"/>
    <x v="10"/>
    <x v="1"/>
  </r>
  <r>
    <x v="1835"/>
    <x v="19"/>
    <x v="0"/>
    <n v="13.7"/>
    <n v="13.7"/>
    <x v="67"/>
    <d v="2025-03-10T00:00:00"/>
    <x v="2"/>
    <x v="2"/>
    <x v="2"/>
    <x v="0"/>
    <x v="8"/>
    <x v="3"/>
    <x v="10"/>
    <x v="2"/>
  </r>
  <r>
    <x v="1836"/>
    <x v="2"/>
    <x v="1"/>
    <n v="110.5"/>
    <n v="221"/>
    <x v="67"/>
    <d v="2025-03-10T00:00:00"/>
    <x v="2"/>
    <x v="0"/>
    <x v="1"/>
    <x v="0"/>
    <x v="8"/>
    <x v="3"/>
    <x v="10"/>
    <x v="2"/>
  </r>
  <r>
    <x v="1837"/>
    <x v="8"/>
    <x v="2"/>
    <n v="26"/>
    <n v="78"/>
    <x v="67"/>
    <d v="2025-03-14T00:00:00"/>
    <x v="2"/>
    <x v="1"/>
    <x v="1"/>
    <x v="0"/>
    <x v="8"/>
    <x v="0"/>
    <x v="10"/>
    <x v="2"/>
  </r>
  <r>
    <x v="1838"/>
    <x v="2"/>
    <x v="7"/>
    <n v="140.69999999999999"/>
    <n v="1407"/>
    <x v="67"/>
    <d v="2025-03-15T00:00:00"/>
    <x v="1"/>
    <x v="3"/>
    <x v="1"/>
    <x v="0"/>
    <x v="8"/>
    <x v="4"/>
    <x v="10"/>
    <x v="1"/>
  </r>
  <r>
    <x v="1839"/>
    <x v="17"/>
    <x v="1"/>
    <n v="41.7"/>
    <n v="83.4"/>
    <x v="67"/>
    <d v="2025-03-17T00:00:00"/>
    <x v="2"/>
    <x v="0"/>
    <x v="4"/>
    <x v="0"/>
    <x v="8"/>
    <x v="9"/>
    <x v="10"/>
    <x v="2"/>
  </r>
  <r>
    <x v="1840"/>
    <x v="2"/>
    <x v="1"/>
    <n v="135.1"/>
    <n v="270.2"/>
    <x v="67"/>
    <d v="2025-03-10T00:00:00"/>
    <x v="1"/>
    <x v="0"/>
    <x v="2"/>
    <x v="0"/>
    <x v="17"/>
    <x v="3"/>
    <x v="10"/>
    <x v="1"/>
  </r>
  <r>
    <x v="1841"/>
    <x v="12"/>
    <x v="32"/>
    <n v="95.5"/>
    <n v="2101"/>
    <x v="67"/>
    <d v="2025-03-10T00:00:00"/>
    <x v="2"/>
    <x v="4"/>
    <x v="4"/>
    <x v="0"/>
    <x v="26"/>
    <x v="3"/>
    <x v="10"/>
    <x v="2"/>
  </r>
  <r>
    <x v="1842"/>
    <x v="15"/>
    <x v="0"/>
    <n v="25.5"/>
    <n v="25.5"/>
    <x v="67"/>
    <d v="2025-03-12T00:00:00"/>
    <x v="0"/>
    <x v="2"/>
    <x v="2"/>
    <x v="0"/>
    <x v="11"/>
    <x v="2"/>
    <x v="10"/>
    <x v="0"/>
  </r>
  <r>
    <x v="1843"/>
    <x v="1"/>
    <x v="0"/>
    <n v="42.6"/>
    <n v="42.6"/>
    <x v="67"/>
    <d v="2025-03-13T00:00:00"/>
    <x v="2"/>
    <x v="0"/>
    <x v="0"/>
    <x v="0"/>
    <x v="11"/>
    <x v="5"/>
    <x v="10"/>
    <x v="2"/>
  </r>
  <r>
    <x v="1844"/>
    <x v="8"/>
    <x v="20"/>
    <n v="32.4"/>
    <n v="486"/>
    <x v="67"/>
    <d v="2025-03-10T00:00:00"/>
    <x v="1"/>
    <x v="1"/>
    <x v="1"/>
    <x v="0"/>
    <x v="11"/>
    <x v="3"/>
    <x v="10"/>
    <x v="1"/>
  </r>
  <r>
    <x v="1845"/>
    <x v="4"/>
    <x v="12"/>
    <n v="20.2"/>
    <n v="80.8"/>
    <x v="67"/>
    <d v="2025-03-10T00:00:00"/>
    <x v="3"/>
    <x v="2"/>
    <x v="0"/>
    <x v="0"/>
    <x v="11"/>
    <x v="3"/>
    <x v="10"/>
    <x v="3"/>
  </r>
  <r>
    <x v="1846"/>
    <x v="16"/>
    <x v="2"/>
    <n v="52.5"/>
    <n v="157.5"/>
    <x v="67"/>
    <d v="2025-03-14T00:00:00"/>
    <x v="2"/>
    <x v="4"/>
    <x v="0"/>
    <x v="0"/>
    <x v="18"/>
    <x v="0"/>
    <x v="10"/>
    <x v="2"/>
  </r>
  <r>
    <x v="1847"/>
    <x v="2"/>
    <x v="9"/>
    <n v="59.9"/>
    <n v="299.5"/>
    <x v="67"/>
    <d v="2025-03-11T00:00:00"/>
    <x v="2"/>
    <x v="2"/>
    <x v="0"/>
    <x v="0"/>
    <x v="19"/>
    <x v="1"/>
    <x v="10"/>
    <x v="2"/>
  </r>
  <r>
    <x v="1848"/>
    <x v="4"/>
    <x v="1"/>
    <n v="53.2"/>
    <n v="106.4"/>
    <x v="67"/>
    <d v="2025-03-10T00:00:00"/>
    <x v="2"/>
    <x v="1"/>
    <x v="3"/>
    <x v="0"/>
    <x v="20"/>
    <x v="3"/>
    <x v="10"/>
    <x v="2"/>
  </r>
  <r>
    <x v="1849"/>
    <x v="2"/>
    <x v="1"/>
    <n v="60"/>
    <n v="120"/>
    <x v="67"/>
    <d v="2025-03-15T00:00:00"/>
    <x v="1"/>
    <x v="1"/>
    <x v="2"/>
    <x v="0"/>
    <x v="20"/>
    <x v="4"/>
    <x v="10"/>
    <x v="1"/>
  </r>
  <r>
    <x v="1850"/>
    <x v="8"/>
    <x v="2"/>
    <n v="29.3"/>
    <n v="87.9"/>
    <x v="67"/>
    <d v="2025-03-10T00:00:00"/>
    <x v="2"/>
    <x v="4"/>
    <x v="0"/>
    <x v="0"/>
    <x v="13"/>
    <x v="3"/>
    <x v="10"/>
    <x v="2"/>
  </r>
  <r>
    <x v="1851"/>
    <x v="12"/>
    <x v="1"/>
    <n v="55.4"/>
    <n v="110.8"/>
    <x v="67"/>
    <d v="2025-03-10T00:00:00"/>
    <x v="2"/>
    <x v="0"/>
    <x v="2"/>
    <x v="0"/>
    <x v="21"/>
    <x v="3"/>
    <x v="10"/>
    <x v="2"/>
  </r>
  <r>
    <x v="1852"/>
    <x v="0"/>
    <x v="9"/>
    <n v="20.100000000000001"/>
    <n v="100.5"/>
    <x v="67"/>
    <d v="2025-03-11T00:00:00"/>
    <x v="2"/>
    <x v="1"/>
    <x v="2"/>
    <x v="0"/>
    <x v="21"/>
    <x v="1"/>
    <x v="10"/>
    <x v="2"/>
  </r>
  <r>
    <x v="1853"/>
    <x v="14"/>
    <x v="9"/>
    <n v="24"/>
    <n v="120"/>
    <x v="67"/>
    <d v="2025-03-12T00:00:00"/>
    <x v="1"/>
    <x v="2"/>
    <x v="0"/>
    <x v="0"/>
    <x v="1"/>
    <x v="2"/>
    <x v="10"/>
    <x v="1"/>
  </r>
  <r>
    <x v="1854"/>
    <x v="8"/>
    <x v="1"/>
    <n v="30.6"/>
    <n v="61.2"/>
    <x v="68"/>
    <d v="2025-03-12T00:00:00"/>
    <x v="2"/>
    <x v="0"/>
    <x v="0"/>
    <x v="0"/>
    <x v="1"/>
    <x v="1"/>
    <x v="10"/>
    <x v="2"/>
  </r>
  <r>
    <x v="1855"/>
    <x v="10"/>
    <x v="9"/>
    <n v="33"/>
    <n v="165"/>
    <x v="68"/>
    <d v="2025-03-11T00:00:00"/>
    <x v="1"/>
    <x v="1"/>
    <x v="1"/>
    <x v="0"/>
    <x v="27"/>
    <x v="3"/>
    <x v="10"/>
    <x v="1"/>
  </r>
  <r>
    <x v="1856"/>
    <x v="17"/>
    <x v="11"/>
    <n v="42.1"/>
    <n v="378.90000000000003"/>
    <x v="68"/>
    <d v="2025-03-16T00:00:00"/>
    <x v="2"/>
    <x v="2"/>
    <x v="0"/>
    <x v="0"/>
    <x v="44"/>
    <x v="4"/>
    <x v="10"/>
    <x v="2"/>
  </r>
  <r>
    <x v="1857"/>
    <x v="6"/>
    <x v="3"/>
    <n v="77.7"/>
    <n v="543.9"/>
    <x v="68"/>
    <d v="2025-03-15T00:00:00"/>
    <x v="2"/>
    <x v="1"/>
    <x v="2"/>
    <x v="0"/>
    <x v="50"/>
    <x v="0"/>
    <x v="10"/>
    <x v="2"/>
  </r>
  <r>
    <x v="1858"/>
    <x v="17"/>
    <x v="13"/>
    <n v="22.7"/>
    <n v="136.19999999999999"/>
    <x v="68"/>
    <d v="2025-03-13T00:00:00"/>
    <x v="2"/>
    <x v="2"/>
    <x v="0"/>
    <x v="0"/>
    <x v="3"/>
    <x v="2"/>
    <x v="10"/>
    <x v="2"/>
  </r>
  <r>
    <x v="1859"/>
    <x v="2"/>
    <x v="1"/>
    <n v="133"/>
    <n v="266"/>
    <x v="68"/>
    <d v="2025-03-10T00:00:00"/>
    <x v="1"/>
    <x v="2"/>
    <x v="2"/>
    <x v="0"/>
    <x v="3"/>
    <x v="7"/>
    <x v="10"/>
    <x v="1"/>
  </r>
  <r>
    <x v="1860"/>
    <x v="0"/>
    <x v="1"/>
    <n v="23.3"/>
    <n v="46.6"/>
    <x v="68"/>
    <d v="2025-03-11T00:00:00"/>
    <x v="1"/>
    <x v="1"/>
    <x v="2"/>
    <x v="0"/>
    <x v="3"/>
    <x v="3"/>
    <x v="10"/>
    <x v="1"/>
  </r>
  <r>
    <x v="1861"/>
    <x v="8"/>
    <x v="2"/>
    <n v="20.7"/>
    <n v="62.099999999999994"/>
    <x v="68"/>
    <d v="2025-03-12T00:00:00"/>
    <x v="3"/>
    <x v="0"/>
    <x v="2"/>
    <x v="0"/>
    <x v="3"/>
    <x v="1"/>
    <x v="10"/>
    <x v="3"/>
  </r>
  <r>
    <x v="1862"/>
    <x v="12"/>
    <x v="1"/>
    <n v="47"/>
    <n v="94"/>
    <x v="68"/>
    <d v="2025-03-11T00:00:00"/>
    <x v="1"/>
    <x v="1"/>
    <x v="2"/>
    <x v="0"/>
    <x v="3"/>
    <x v="3"/>
    <x v="10"/>
    <x v="1"/>
  </r>
  <r>
    <x v="1863"/>
    <x v="12"/>
    <x v="2"/>
    <n v="38.200000000000003"/>
    <n v="114.60000000000001"/>
    <x v="68"/>
    <d v="2025-03-12T00:00:00"/>
    <x v="2"/>
    <x v="2"/>
    <x v="4"/>
    <x v="0"/>
    <x v="3"/>
    <x v="1"/>
    <x v="10"/>
    <x v="2"/>
  </r>
  <r>
    <x v="1864"/>
    <x v="9"/>
    <x v="0"/>
    <n v="39.1"/>
    <n v="39.1"/>
    <x v="68"/>
    <d v="2025-03-12T00:00:00"/>
    <x v="2"/>
    <x v="0"/>
    <x v="0"/>
    <x v="0"/>
    <x v="3"/>
    <x v="1"/>
    <x v="10"/>
    <x v="2"/>
  </r>
  <r>
    <x v="1865"/>
    <x v="7"/>
    <x v="30"/>
    <n v="55.6"/>
    <n v="1390"/>
    <x v="68"/>
    <d v="2025-03-12T00:00:00"/>
    <x v="1"/>
    <x v="0"/>
    <x v="2"/>
    <x v="0"/>
    <x v="3"/>
    <x v="1"/>
    <x v="10"/>
    <x v="1"/>
  </r>
  <r>
    <x v="1866"/>
    <x v="15"/>
    <x v="0"/>
    <n v="43.1"/>
    <n v="43.1"/>
    <x v="68"/>
    <d v="2025-03-10T00:00:00"/>
    <x v="3"/>
    <x v="1"/>
    <x v="2"/>
    <x v="0"/>
    <x v="3"/>
    <x v="7"/>
    <x v="10"/>
    <x v="3"/>
  </r>
  <r>
    <x v="1867"/>
    <x v="6"/>
    <x v="12"/>
    <n v="48.1"/>
    <n v="192.4"/>
    <x v="68"/>
    <d v="2025-03-11T00:00:00"/>
    <x v="2"/>
    <x v="4"/>
    <x v="2"/>
    <x v="0"/>
    <x v="3"/>
    <x v="3"/>
    <x v="10"/>
    <x v="2"/>
  </r>
  <r>
    <x v="1868"/>
    <x v="4"/>
    <x v="0"/>
    <n v="42"/>
    <n v="42"/>
    <x v="68"/>
    <d v="2025-03-11T00:00:00"/>
    <x v="3"/>
    <x v="0"/>
    <x v="0"/>
    <x v="0"/>
    <x v="3"/>
    <x v="3"/>
    <x v="10"/>
    <x v="3"/>
  </r>
  <r>
    <x v="1869"/>
    <x v="8"/>
    <x v="9"/>
    <n v="18.3"/>
    <n v="91.5"/>
    <x v="68"/>
    <d v="2025-03-10T00:00:00"/>
    <x v="2"/>
    <x v="2"/>
    <x v="0"/>
    <x v="0"/>
    <x v="3"/>
    <x v="7"/>
    <x v="10"/>
    <x v="2"/>
  </r>
  <r>
    <x v="1870"/>
    <x v="10"/>
    <x v="12"/>
    <n v="45.3"/>
    <n v="181.2"/>
    <x v="68"/>
    <d v="2025-03-13T00:00:00"/>
    <x v="2"/>
    <x v="0"/>
    <x v="2"/>
    <x v="0"/>
    <x v="3"/>
    <x v="2"/>
    <x v="10"/>
    <x v="2"/>
  </r>
  <r>
    <x v="1871"/>
    <x v="0"/>
    <x v="1"/>
    <n v="27.6"/>
    <n v="55.2"/>
    <x v="68"/>
    <d v="2025-03-12T00:00:00"/>
    <x v="1"/>
    <x v="0"/>
    <x v="2"/>
    <x v="0"/>
    <x v="37"/>
    <x v="1"/>
    <x v="10"/>
    <x v="1"/>
  </r>
  <r>
    <x v="1872"/>
    <x v="4"/>
    <x v="9"/>
    <n v="26.9"/>
    <n v="134.5"/>
    <x v="68"/>
    <d v="2025-03-11T00:00:00"/>
    <x v="2"/>
    <x v="2"/>
    <x v="0"/>
    <x v="0"/>
    <x v="25"/>
    <x v="3"/>
    <x v="10"/>
    <x v="2"/>
  </r>
  <r>
    <x v="1873"/>
    <x v="2"/>
    <x v="11"/>
    <n v="82.4"/>
    <n v="741.6"/>
    <x v="68"/>
    <d v="2025-03-12T00:00:00"/>
    <x v="3"/>
    <x v="2"/>
    <x v="0"/>
    <x v="0"/>
    <x v="5"/>
    <x v="1"/>
    <x v="10"/>
    <x v="3"/>
  </r>
  <r>
    <x v="1874"/>
    <x v="6"/>
    <x v="0"/>
    <n v="103.7"/>
    <n v="103.7"/>
    <x v="68"/>
    <d v="2025-03-12T00:00:00"/>
    <x v="2"/>
    <x v="1"/>
    <x v="0"/>
    <x v="0"/>
    <x v="5"/>
    <x v="1"/>
    <x v="10"/>
    <x v="2"/>
  </r>
  <r>
    <x v="1875"/>
    <x v="2"/>
    <x v="1"/>
    <n v="58.8"/>
    <n v="117.6"/>
    <x v="68"/>
    <d v="2025-03-15T00:00:00"/>
    <x v="2"/>
    <x v="1"/>
    <x v="2"/>
    <x v="0"/>
    <x v="6"/>
    <x v="0"/>
    <x v="10"/>
    <x v="2"/>
  </r>
  <r>
    <x v="1876"/>
    <x v="13"/>
    <x v="0"/>
    <n v="31.5"/>
    <n v="31.5"/>
    <x v="68"/>
    <d v="2025-03-11T00:00:00"/>
    <x v="2"/>
    <x v="1"/>
    <x v="1"/>
    <x v="0"/>
    <x v="6"/>
    <x v="3"/>
    <x v="10"/>
    <x v="2"/>
  </r>
  <r>
    <x v="1877"/>
    <x v="7"/>
    <x v="9"/>
    <n v="36.799999999999997"/>
    <n v="184"/>
    <x v="68"/>
    <d v="2025-03-12T00:00:00"/>
    <x v="2"/>
    <x v="0"/>
    <x v="0"/>
    <x v="0"/>
    <x v="8"/>
    <x v="1"/>
    <x v="10"/>
    <x v="2"/>
  </r>
  <r>
    <x v="1878"/>
    <x v="3"/>
    <x v="0"/>
    <n v="84.4"/>
    <n v="84.4"/>
    <x v="68"/>
    <d v="2025-03-11T00:00:00"/>
    <x v="2"/>
    <x v="0"/>
    <x v="0"/>
    <x v="0"/>
    <x v="8"/>
    <x v="3"/>
    <x v="10"/>
    <x v="2"/>
  </r>
  <r>
    <x v="1879"/>
    <x v="14"/>
    <x v="0"/>
    <n v="44.7"/>
    <n v="44.7"/>
    <x v="68"/>
    <d v="2025-03-11T00:00:00"/>
    <x v="1"/>
    <x v="0"/>
    <x v="1"/>
    <x v="0"/>
    <x v="8"/>
    <x v="3"/>
    <x v="10"/>
    <x v="1"/>
  </r>
  <r>
    <x v="1880"/>
    <x v="9"/>
    <x v="8"/>
    <n v="39.4"/>
    <n v="315.2"/>
    <x v="68"/>
    <d v="2025-03-11T00:00:00"/>
    <x v="2"/>
    <x v="1"/>
    <x v="2"/>
    <x v="0"/>
    <x v="8"/>
    <x v="3"/>
    <x v="10"/>
    <x v="2"/>
  </r>
  <r>
    <x v="1881"/>
    <x v="11"/>
    <x v="12"/>
    <n v="34.9"/>
    <n v="139.6"/>
    <x v="68"/>
    <d v="2025-03-12T00:00:00"/>
    <x v="2"/>
    <x v="0"/>
    <x v="2"/>
    <x v="0"/>
    <x v="8"/>
    <x v="1"/>
    <x v="10"/>
    <x v="2"/>
  </r>
  <r>
    <x v="1882"/>
    <x v="1"/>
    <x v="2"/>
    <n v="62.3"/>
    <n v="186.89999999999998"/>
    <x v="68"/>
    <d v="2025-03-12T00:00:00"/>
    <x v="1"/>
    <x v="4"/>
    <x v="2"/>
    <x v="0"/>
    <x v="8"/>
    <x v="1"/>
    <x v="10"/>
    <x v="1"/>
  </r>
  <r>
    <x v="1883"/>
    <x v="8"/>
    <x v="12"/>
    <n v="21.1"/>
    <n v="84.4"/>
    <x v="68"/>
    <d v="2025-03-13T00:00:00"/>
    <x v="1"/>
    <x v="3"/>
    <x v="0"/>
    <x v="0"/>
    <x v="8"/>
    <x v="2"/>
    <x v="10"/>
    <x v="1"/>
  </r>
  <r>
    <x v="1884"/>
    <x v="8"/>
    <x v="2"/>
    <n v="33.200000000000003"/>
    <n v="99.600000000000009"/>
    <x v="68"/>
    <d v="2025-03-24T00:00:00"/>
    <x v="0"/>
    <x v="0"/>
    <x v="4"/>
    <x v="0"/>
    <x v="8"/>
    <x v="12"/>
    <x v="10"/>
    <x v="0"/>
  </r>
  <r>
    <x v="1885"/>
    <x v="1"/>
    <x v="12"/>
    <n v="74.5"/>
    <n v="298"/>
    <x v="68"/>
    <d v="2025-03-11T00:00:00"/>
    <x v="1"/>
    <x v="4"/>
    <x v="0"/>
    <x v="0"/>
    <x v="8"/>
    <x v="3"/>
    <x v="10"/>
    <x v="1"/>
  </r>
  <r>
    <x v="1886"/>
    <x v="10"/>
    <x v="4"/>
    <n v="68.599999999999994"/>
    <n v="823.19999999999993"/>
    <x v="68"/>
    <d v="2025-03-13T00:00:00"/>
    <x v="2"/>
    <x v="0"/>
    <x v="2"/>
    <x v="0"/>
    <x v="8"/>
    <x v="2"/>
    <x v="10"/>
    <x v="2"/>
  </r>
  <r>
    <x v="1887"/>
    <x v="5"/>
    <x v="21"/>
    <n v="36.4"/>
    <n v="509.59999999999997"/>
    <x v="68"/>
    <d v="2025-03-12T00:00:00"/>
    <x v="2"/>
    <x v="0"/>
    <x v="1"/>
    <x v="0"/>
    <x v="9"/>
    <x v="1"/>
    <x v="10"/>
    <x v="2"/>
  </r>
  <r>
    <x v="1888"/>
    <x v="16"/>
    <x v="9"/>
    <n v="67.599999999999994"/>
    <n v="338"/>
    <x v="69"/>
    <d v="2025-03-14T00:00:00"/>
    <x v="2"/>
    <x v="4"/>
    <x v="1"/>
    <x v="0"/>
    <x v="9"/>
    <x v="2"/>
    <x v="10"/>
    <x v="2"/>
  </r>
  <r>
    <x v="1889"/>
    <x v="15"/>
    <x v="0"/>
    <n v="46.3"/>
    <n v="46.3"/>
    <x v="69"/>
    <d v="2025-03-12T00:00:00"/>
    <x v="1"/>
    <x v="2"/>
    <x v="0"/>
    <x v="0"/>
    <x v="9"/>
    <x v="3"/>
    <x v="10"/>
    <x v="1"/>
  </r>
  <r>
    <x v="1890"/>
    <x v="1"/>
    <x v="2"/>
    <n v="124.2"/>
    <n v="372.6"/>
    <x v="69"/>
    <d v="2025-03-13T00:00:00"/>
    <x v="2"/>
    <x v="1"/>
    <x v="2"/>
    <x v="0"/>
    <x v="11"/>
    <x v="1"/>
    <x v="10"/>
    <x v="2"/>
  </r>
  <r>
    <x v="1891"/>
    <x v="10"/>
    <x v="1"/>
    <n v="37"/>
    <n v="74"/>
    <x v="69"/>
    <d v="2025-03-17T00:00:00"/>
    <x v="1"/>
    <x v="0"/>
    <x v="0"/>
    <x v="0"/>
    <x v="11"/>
    <x v="4"/>
    <x v="10"/>
    <x v="1"/>
  </r>
  <r>
    <x v="1892"/>
    <x v="5"/>
    <x v="0"/>
    <n v="41.8"/>
    <n v="41.8"/>
    <x v="69"/>
    <d v="2025-03-12T00:00:00"/>
    <x v="1"/>
    <x v="2"/>
    <x v="0"/>
    <x v="0"/>
    <x v="31"/>
    <x v="3"/>
    <x v="10"/>
    <x v="1"/>
  </r>
  <r>
    <x v="1893"/>
    <x v="9"/>
    <x v="1"/>
    <n v="57.2"/>
    <n v="114.4"/>
    <x v="69"/>
    <d v="2025-03-13T00:00:00"/>
    <x v="1"/>
    <x v="2"/>
    <x v="1"/>
    <x v="0"/>
    <x v="20"/>
    <x v="1"/>
    <x v="10"/>
    <x v="1"/>
  </r>
  <r>
    <x v="1894"/>
    <x v="6"/>
    <x v="1"/>
    <n v="47.1"/>
    <n v="94.2"/>
    <x v="69"/>
    <d v="2025-03-13T00:00:00"/>
    <x v="2"/>
    <x v="0"/>
    <x v="4"/>
    <x v="0"/>
    <x v="20"/>
    <x v="1"/>
    <x v="10"/>
    <x v="2"/>
  </r>
  <r>
    <x v="1895"/>
    <x v="5"/>
    <x v="2"/>
    <n v="86.4"/>
    <n v="259.20000000000005"/>
    <x v="69"/>
    <d v="2025-03-12T00:00:00"/>
    <x v="1"/>
    <x v="2"/>
    <x v="1"/>
    <x v="0"/>
    <x v="52"/>
    <x v="3"/>
    <x v="10"/>
    <x v="1"/>
  </r>
  <r>
    <x v="1896"/>
    <x v="6"/>
    <x v="9"/>
    <n v="105"/>
    <n v="525"/>
    <x v="69"/>
    <d v="2025-03-14T00:00:00"/>
    <x v="1"/>
    <x v="0"/>
    <x v="0"/>
    <x v="0"/>
    <x v="13"/>
    <x v="2"/>
    <x v="10"/>
    <x v="1"/>
  </r>
  <r>
    <x v="1897"/>
    <x v="18"/>
    <x v="0"/>
    <n v="33"/>
    <n v="33"/>
    <x v="69"/>
    <d v="2025-03-14T00:00:00"/>
    <x v="1"/>
    <x v="4"/>
    <x v="0"/>
    <x v="0"/>
    <x v="21"/>
    <x v="2"/>
    <x v="10"/>
    <x v="1"/>
  </r>
  <r>
    <x v="1898"/>
    <x v="6"/>
    <x v="9"/>
    <n v="106.6"/>
    <n v="533"/>
    <x v="69"/>
    <d v="2025-03-24T00:00:00"/>
    <x v="2"/>
    <x v="2"/>
    <x v="0"/>
    <x v="0"/>
    <x v="1"/>
    <x v="10"/>
    <x v="10"/>
    <x v="2"/>
  </r>
  <r>
    <x v="1899"/>
    <x v="10"/>
    <x v="46"/>
    <n v="26.8"/>
    <n v="857.6"/>
    <x v="69"/>
    <d v="2025-03-12T00:00:00"/>
    <x v="2"/>
    <x v="2"/>
    <x v="0"/>
    <x v="0"/>
    <x v="1"/>
    <x v="3"/>
    <x v="10"/>
    <x v="2"/>
  </r>
  <r>
    <x v="1900"/>
    <x v="17"/>
    <x v="9"/>
    <n v="25.8"/>
    <n v="129"/>
    <x v="69"/>
    <d v="2025-03-11T00:00:00"/>
    <x v="2"/>
    <x v="1"/>
    <x v="2"/>
    <x v="0"/>
    <x v="3"/>
    <x v="7"/>
    <x v="10"/>
    <x v="2"/>
  </r>
  <r>
    <x v="1901"/>
    <x v="2"/>
    <x v="2"/>
    <n v="217"/>
    <n v="651"/>
    <x v="69"/>
    <d v="2025-03-12T00:00:00"/>
    <x v="2"/>
    <x v="1"/>
    <x v="1"/>
    <x v="0"/>
    <x v="3"/>
    <x v="3"/>
    <x v="10"/>
    <x v="2"/>
  </r>
  <r>
    <x v="1902"/>
    <x v="2"/>
    <x v="1"/>
    <n v="97.3"/>
    <n v="194.6"/>
    <x v="69"/>
    <d v="2025-03-12T00:00:00"/>
    <x v="1"/>
    <x v="2"/>
    <x v="4"/>
    <x v="0"/>
    <x v="3"/>
    <x v="3"/>
    <x v="10"/>
    <x v="1"/>
  </r>
  <r>
    <x v="1903"/>
    <x v="1"/>
    <x v="0"/>
    <n v="49.8"/>
    <n v="49.8"/>
    <x v="69"/>
    <d v="2025-03-12T00:00:00"/>
    <x v="2"/>
    <x v="0"/>
    <x v="0"/>
    <x v="0"/>
    <x v="3"/>
    <x v="3"/>
    <x v="10"/>
    <x v="2"/>
  </r>
  <r>
    <x v="1904"/>
    <x v="12"/>
    <x v="9"/>
    <n v="32.6"/>
    <n v="163"/>
    <x v="69"/>
    <d v="2025-03-12T00:00:00"/>
    <x v="2"/>
    <x v="0"/>
    <x v="0"/>
    <x v="0"/>
    <x v="3"/>
    <x v="3"/>
    <x v="10"/>
    <x v="2"/>
  </r>
  <r>
    <x v="1905"/>
    <x v="9"/>
    <x v="1"/>
    <n v="40.1"/>
    <n v="80.2"/>
    <x v="69"/>
    <d v="2025-03-14T00:00:00"/>
    <x v="1"/>
    <x v="1"/>
    <x v="2"/>
    <x v="0"/>
    <x v="3"/>
    <x v="2"/>
    <x v="10"/>
    <x v="1"/>
  </r>
  <r>
    <x v="1906"/>
    <x v="10"/>
    <x v="1"/>
    <n v="49.4"/>
    <n v="98.8"/>
    <x v="69"/>
    <d v="2025-03-13T00:00:00"/>
    <x v="1"/>
    <x v="1"/>
    <x v="0"/>
    <x v="0"/>
    <x v="3"/>
    <x v="1"/>
    <x v="10"/>
    <x v="1"/>
  </r>
  <r>
    <x v="1907"/>
    <x v="2"/>
    <x v="0"/>
    <n v="67.3"/>
    <n v="67.3"/>
    <x v="69"/>
    <d v="2025-03-12T00:00:00"/>
    <x v="2"/>
    <x v="0"/>
    <x v="2"/>
    <x v="0"/>
    <x v="3"/>
    <x v="3"/>
    <x v="10"/>
    <x v="2"/>
  </r>
  <r>
    <x v="1908"/>
    <x v="18"/>
    <x v="12"/>
    <n v="44.5"/>
    <n v="178"/>
    <x v="69"/>
    <d v="2025-03-14T00:00:00"/>
    <x v="0"/>
    <x v="1"/>
    <x v="0"/>
    <x v="0"/>
    <x v="3"/>
    <x v="2"/>
    <x v="10"/>
    <x v="0"/>
  </r>
  <r>
    <x v="1909"/>
    <x v="6"/>
    <x v="5"/>
    <n v="111.1"/>
    <n v="1222.0999999999999"/>
    <x v="69"/>
    <d v="2025-03-12T00:00:00"/>
    <x v="2"/>
    <x v="4"/>
    <x v="0"/>
    <x v="0"/>
    <x v="3"/>
    <x v="3"/>
    <x v="10"/>
    <x v="2"/>
  </r>
  <r>
    <x v="1910"/>
    <x v="8"/>
    <x v="2"/>
    <n v="19.7"/>
    <n v="59.099999999999994"/>
    <x v="69"/>
    <d v="2025-03-12T00:00:00"/>
    <x v="2"/>
    <x v="4"/>
    <x v="4"/>
    <x v="0"/>
    <x v="3"/>
    <x v="3"/>
    <x v="10"/>
    <x v="2"/>
  </r>
  <r>
    <x v="1911"/>
    <x v="1"/>
    <x v="0"/>
    <n v="40.299999999999997"/>
    <n v="40.299999999999997"/>
    <x v="69"/>
    <d v="2025-03-12T00:00:00"/>
    <x v="3"/>
    <x v="1"/>
    <x v="0"/>
    <x v="0"/>
    <x v="3"/>
    <x v="3"/>
    <x v="10"/>
    <x v="3"/>
  </r>
  <r>
    <x v="1912"/>
    <x v="6"/>
    <x v="1"/>
    <n v="108.8"/>
    <n v="217.6"/>
    <x v="69"/>
    <d v="2025-03-16T00:00:00"/>
    <x v="1"/>
    <x v="0"/>
    <x v="2"/>
    <x v="0"/>
    <x v="6"/>
    <x v="0"/>
    <x v="10"/>
    <x v="1"/>
  </r>
  <r>
    <x v="1913"/>
    <x v="8"/>
    <x v="2"/>
    <n v="48.2"/>
    <n v="144.60000000000002"/>
    <x v="69"/>
    <d v="2025-03-16T00:00:00"/>
    <x v="2"/>
    <x v="4"/>
    <x v="0"/>
    <x v="0"/>
    <x v="7"/>
    <x v="0"/>
    <x v="10"/>
    <x v="2"/>
  </r>
  <r>
    <x v="1914"/>
    <x v="2"/>
    <x v="2"/>
    <n v="104.7"/>
    <n v="314.10000000000002"/>
    <x v="69"/>
    <d v="2025-03-13T00:00:00"/>
    <x v="2"/>
    <x v="0"/>
    <x v="1"/>
    <x v="0"/>
    <x v="7"/>
    <x v="1"/>
    <x v="10"/>
    <x v="2"/>
  </r>
  <r>
    <x v="1915"/>
    <x v="1"/>
    <x v="1"/>
    <n v="80.599999999999994"/>
    <n v="161.19999999999999"/>
    <x v="69"/>
    <d v="2025-03-11T00:00:00"/>
    <x v="2"/>
    <x v="1"/>
    <x v="0"/>
    <x v="0"/>
    <x v="8"/>
    <x v="7"/>
    <x v="10"/>
    <x v="2"/>
  </r>
  <r>
    <x v="1916"/>
    <x v="6"/>
    <x v="0"/>
    <n v="65.5"/>
    <n v="65.5"/>
    <x v="69"/>
    <d v="2025-03-13T00:00:00"/>
    <x v="3"/>
    <x v="1"/>
    <x v="0"/>
    <x v="0"/>
    <x v="8"/>
    <x v="1"/>
    <x v="10"/>
    <x v="3"/>
  </r>
  <r>
    <x v="1917"/>
    <x v="9"/>
    <x v="2"/>
    <n v="61.4"/>
    <n v="184.2"/>
    <x v="69"/>
    <d v="2025-03-13T00:00:00"/>
    <x v="2"/>
    <x v="4"/>
    <x v="2"/>
    <x v="0"/>
    <x v="8"/>
    <x v="1"/>
    <x v="10"/>
    <x v="2"/>
  </r>
  <r>
    <x v="1918"/>
    <x v="0"/>
    <x v="0"/>
    <n v="12.5"/>
    <n v="12.5"/>
    <x v="70"/>
    <d v="2025-03-15T00:00:00"/>
    <x v="2"/>
    <x v="0"/>
    <x v="1"/>
    <x v="0"/>
    <x v="8"/>
    <x v="2"/>
    <x v="10"/>
    <x v="2"/>
  </r>
  <r>
    <x v="1919"/>
    <x v="4"/>
    <x v="12"/>
    <n v="35.1"/>
    <n v="140.4"/>
    <x v="70"/>
    <d v="2025-03-13T00:00:00"/>
    <x v="1"/>
    <x v="2"/>
    <x v="1"/>
    <x v="0"/>
    <x v="17"/>
    <x v="3"/>
    <x v="10"/>
    <x v="1"/>
  </r>
  <r>
    <x v="1920"/>
    <x v="5"/>
    <x v="1"/>
    <n v="55.7"/>
    <n v="111.4"/>
    <x v="70"/>
    <d v="2025-03-13T00:00:00"/>
    <x v="1"/>
    <x v="0"/>
    <x v="1"/>
    <x v="0"/>
    <x v="26"/>
    <x v="3"/>
    <x v="10"/>
    <x v="1"/>
  </r>
  <r>
    <x v="1921"/>
    <x v="7"/>
    <x v="1"/>
    <n v="57.7"/>
    <n v="115.4"/>
    <x v="70"/>
    <d v="2025-03-14T00:00:00"/>
    <x v="1"/>
    <x v="4"/>
    <x v="1"/>
    <x v="0"/>
    <x v="9"/>
    <x v="1"/>
    <x v="10"/>
    <x v="1"/>
  </r>
  <r>
    <x v="1922"/>
    <x v="2"/>
    <x v="13"/>
    <n v="85.7"/>
    <n v="514.20000000000005"/>
    <x v="70"/>
    <d v="2025-03-13T00:00:00"/>
    <x v="1"/>
    <x v="3"/>
    <x v="2"/>
    <x v="0"/>
    <x v="9"/>
    <x v="3"/>
    <x v="10"/>
    <x v="1"/>
  </r>
  <r>
    <x v="1923"/>
    <x v="2"/>
    <x v="2"/>
    <n v="86.9"/>
    <n v="260.70000000000005"/>
    <x v="70"/>
    <d v="2025-03-14T00:00:00"/>
    <x v="2"/>
    <x v="1"/>
    <x v="0"/>
    <x v="0"/>
    <x v="11"/>
    <x v="1"/>
    <x v="10"/>
    <x v="2"/>
  </r>
  <r>
    <x v="1924"/>
    <x v="18"/>
    <x v="1"/>
    <n v="46.4"/>
    <n v="92.8"/>
    <x v="70"/>
    <d v="2025-03-15T00:00:00"/>
    <x v="2"/>
    <x v="4"/>
    <x v="0"/>
    <x v="0"/>
    <x v="11"/>
    <x v="2"/>
    <x v="10"/>
    <x v="2"/>
  </r>
  <r>
    <x v="1925"/>
    <x v="5"/>
    <x v="2"/>
    <n v="25.4"/>
    <n v="76.199999999999989"/>
    <x v="70"/>
    <d v="2025-03-12T00:00:00"/>
    <x v="2"/>
    <x v="2"/>
    <x v="2"/>
    <x v="0"/>
    <x v="18"/>
    <x v="7"/>
    <x v="10"/>
    <x v="2"/>
  </r>
  <r>
    <x v="1926"/>
    <x v="10"/>
    <x v="2"/>
    <n v="47.8"/>
    <n v="143.39999999999998"/>
    <x v="70"/>
    <d v="2025-03-12T00:00:00"/>
    <x v="0"/>
    <x v="2"/>
    <x v="2"/>
    <x v="0"/>
    <x v="19"/>
    <x v="7"/>
    <x v="10"/>
    <x v="0"/>
  </r>
  <r>
    <x v="1927"/>
    <x v="8"/>
    <x v="10"/>
    <n v="18.399999999999999"/>
    <n v="349.59999999999997"/>
    <x v="70"/>
    <d v="2025-03-14T00:00:00"/>
    <x v="3"/>
    <x v="2"/>
    <x v="0"/>
    <x v="0"/>
    <x v="20"/>
    <x v="1"/>
    <x v="10"/>
    <x v="3"/>
  </r>
  <r>
    <x v="1928"/>
    <x v="12"/>
    <x v="2"/>
    <n v="65.5"/>
    <n v="196.5"/>
    <x v="70"/>
    <d v="2025-03-20T00:00:00"/>
    <x v="2"/>
    <x v="0"/>
    <x v="0"/>
    <x v="0"/>
    <x v="21"/>
    <x v="9"/>
    <x v="10"/>
    <x v="2"/>
  </r>
  <r>
    <x v="1929"/>
    <x v="10"/>
    <x v="1"/>
    <n v="50.6"/>
    <n v="101.2"/>
    <x v="70"/>
    <d v="2025-03-15T00:00:00"/>
    <x v="1"/>
    <x v="2"/>
    <x v="4"/>
    <x v="0"/>
    <x v="21"/>
    <x v="2"/>
    <x v="10"/>
    <x v="1"/>
  </r>
  <r>
    <x v="1930"/>
    <x v="3"/>
    <x v="9"/>
    <n v="69"/>
    <n v="345"/>
    <x v="70"/>
    <d v="2025-03-16T00:00:00"/>
    <x v="1"/>
    <x v="3"/>
    <x v="0"/>
    <x v="0"/>
    <x v="21"/>
    <x v="5"/>
    <x v="10"/>
    <x v="1"/>
  </r>
  <r>
    <x v="1931"/>
    <x v="9"/>
    <x v="8"/>
    <n v="51.1"/>
    <n v="408.8"/>
    <x v="70"/>
    <d v="2025-03-14T00:00:00"/>
    <x v="2"/>
    <x v="0"/>
    <x v="0"/>
    <x v="0"/>
    <x v="1"/>
    <x v="1"/>
    <x v="10"/>
    <x v="2"/>
  </r>
  <r>
    <x v="1932"/>
    <x v="9"/>
    <x v="0"/>
    <n v="36.1"/>
    <n v="36.1"/>
    <x v="70"/>
    <d v="2025-03-13T00:00:00"/>
    <x v="2"/>
    <x v="0"/>
    <x v="2"/>
    <x v="0"/>
    <x v="34"/>
    <x v="3"/>
    <x v="10"/>
    <x v="2"/>
  </r>
  <r>
    <x v="1933"/>
    <x v="14"/>
    <x v="0"/>
    <n v="18.7"/>
    <n v="18.7"/>
    <x v="70"/>
    <d v="2025-03-13T00:00:00"/>
    <x v="1"/>
    <x v="0"/>
    <x v="0"/>
    <x v="0"/>
    <x v="3"/>
    <x v="3"/>
    <x v="10"/>
    <x v="1"/>
  </r>
  <r>
    <x v="1934"/>
    <x v="17"/>
    <x v="0"/>
    <n v="30.1"/>
    <n v="30.1"/>
    <x v="70"/>
    <d v="2025-03-15T00:00:00"/>
    <x v="2"/>
    <x v="3"/>
    <x v="1"/>
    <x v="0"/>
    <x v="3"/>
    <x v="2"/>
    <x v="10"/>
    <x v="2"/>
  </r>
  <r>
    <x v="1935"/>
    <x v="8"/>
    <x v="0"/>
    <n v="16.3"/>
    <n v="16.3"/>
    <x v="70"/>
    <d v="2025-03-13T00:00:00"/>
    <x v="1"/>
    <x v="3"/>
    <x v="0"/>
    <x v="0"/>
    <x v="3"/>
    <x v="3"/>
    <x v="10"/>
    <x v="1"/>
  </r>
  <r>
    <x v="1936"/>
    <x v="1"/>
    <x v="2"/>
    <n v="63.8"/>
    <n v="191.39999999999998"/>
    <x v="70"/>
    <d v="2025-03-17T00:00:00"/>
    <x v="2"/>
    <x v="2"/>
    <x v="1"/>
    <x v="0"/>
    <x v="3"/>
    <x v="0"/>
    <x v="10"/>
    <x v="2"/>
  </r>
  <r>
    <x v="1937"/>
    <x v="1"/>
    <x v="3"/>
    <n v="73.900000000000006"/>
    <n v="517.30000000000007"/>
    <x v="70"/>
    <d v="2025-03-12T00:00:00"/>
    <x v="2"/>
    <x v="0"/>
    <x v="1"/>
    <x v="0"/>
    <x v="3"/>
    <x v="7"/>
    <x v="10"/>
    <x v="2"/>
  </r>
  <r>
    <x v="1938"/>
    <x v="0"/>
    <x v="1"/>
    <n v="20.2"/>
    <n v="40.4"/>
    <x v="70"/>
    <d v="2025-03-13T00:00:00"/>
    <x v="1"/>
    <x v="0"/>
    <x v="1"/>
    <x v="0"/>
    <x v="3"/>
    <x v="3"/>
    <x v="10"/>
    <x v="1"/>
  </r>
  <r>
    <x v="1939"/>
    <x v="11"/>
    <x v="5"/>
    <n v="29.5"/>
    <n v="324.5"/>
    <x v="70"/>
    <d v="2025-03-13T00:00:00"/>
    <x v="1"/>
    <x v="0"/>
    <x v="0"/>
    <x v="0"/>
    <x v="3"/>
    <x v="3"/>
    <x v="10"/>
    <x v="1"/>
  </r>
  <r>
    <x v="1940"/>
    <x v="15"/>
    <x v="3"/>
    <n v="37.9"/>
    <n v="265.3"/>
    <x v="70"/>
    <d v="2025-03-13T00:00:00"/>
    <x v="1"/>
    <x v="1"/>
    <x v="0"/>
    <x v="0"/>
    <x v="3"/>
    <x v="3"/>
    <x v="10"/>
    <x v="1"/>
  </r>
  <r>
    <x v="1941"/>
    <x v="2"/>
    <x v="0"/>
    <n v="56.5"/>
    <n v="56.5"/>
    <x v="70"/>
    <d v="2025-03-13T00:00:00"/>
    <x v="2"/>
    <x v="2"/>
    <x v="1"/>
    <x v="0"/>
    <x v="3"/>
    <x v="3"/>
    <x v="10"/>
    <x v="2"/>
  </r>
  <r>
    <x v="1942"/>
    <x v="2"/>
    <x v="1"/>
    <n v="66.900000000000006"/>
    <n v="133.80000000000001"/>
    <x v="70"/>
    <d v="2025-03-18T00:00:00"/>
    <x v="1"/>
    <x v="1"/>
    <x v="4"/>
    <x v="0"/>
    <x v="25"/>
    <x v="4"/>
    <x v="10"/>
    <x v="1"/>
  </r>
  <r>
    <x v="1943"/>
    <x v="2"/>
    <x v="9"/>
    <n v="51.9"/>
    <n v="259.5"/>
    <x v="70"/>
    <d v="2025-03-15T00:00:00"/>
    <x v="1"/>
    <x v="1"/>
    <x v="0"/>
    <x v="0"/>
    <x v="7"/>
    <x v="2"/>
    <x v="10"/>
    <x v="1"/>
  </r>
  <r>
    <x v="1944"/>
    <x v="2"/>
    <x v="1"/>
    <n v="75.599999999999994"/>
    <n v="151.19999999999999"/>
    <x v="70"/>
    <d v="2025-03-15T00:00:00"/>
    <x v="1"/>
    <x v="1"/>
    <x v="0"/>
    <x v="0"/>
    <x v="8"/>
    <x v="2"/>
    <x v="10"/>
    <x v="1"/>
  </r>
  <r>
    <x v="1945"/>
    <x v="12"/>
    <x v="13"/>
    <n v="47.3"/>
    <n v="283.79999999999995"/>
    <x v="70"/>
    <d v="2025-03-23T00:00:00"/>
    <x v="1"/>
    <x v="0"/>
    <x v="0"/>
    <x v="0"/>
    <x v="8"/>
    <x v="11"/>
    <x v="10"/>
    <x v="1"/>
  </r>
  <r>
    <x v="1946"/>
    <x v="4"/>
    <x v="0"/>
    <n v="20.6"/>
    <n v="20.6"/>
    <x v="70"/>
    <d v="2025-03-13T00:00:00"/>
    <x v="0"/>
    <x v="0"/>
    <x v="1"/>
    <x v="0"/>
    <x v="8"/>
    <x v="3"/>
    <x v="10"/>
    <x v="0"/>
  </r>
  <r>
    <x v="1947"/>
    <x v="6"/>
    <x v="2"/>
    <n v="49.7"/>
    <n v="149.10000000000002"/>
    <x v="70"/>
    <d v="2025-03-14T00:00:00"/>
    <x v="1"/>
    <x v="0"/>
    <x v="1"/>
    <x v="0"/>
    <x v="8"/>
    <x v="1"/>
    <x v="10"/>
    <x v="1"/>
  </r>
  <r>
    <x v="1948"/>
    <x v="3"/>
    <x v="0"/>
    <n v="37.9"/>
    <n v="37.9"/>
    <x v="70"/>
    <d v="2025-03-14T00:00:00"/>
    <x v="2"/>
    <x v="0"/>
    <x v="0"/>
    <x v="0"/>
    <x v="8"/>
    <x v="1"/>
    <x v="10"/>
    <x v="2"/>
  </r>
  <r>
    <x v="1949"/>
    <x v="13"/>
    <x v="20"/>
    <n v="32"/>
    <n v="480"/>
    <x v="70"/>
    <d v="2025-03-14T00:00:00"/>
    <x v="2"/>
    <x v="4"/>
    <x v="0"/>
    <x v="0"/>
    <x v="11"/>
    <x v="1"/>
    <x v="10"/>
    <x v="2"/>
  </r>
  <r>
    <x v="1950"/>
    <x v="10"/>
    <x v="16"/>
    <n v="38.5"/>
    <n v="693"/>
    <x v="71"/>
    <d v="2025-03-14T00:00:00"/>
    <x v="1"/>
    <x v="0"/>
    <x v="2"/>
    <x v="0"/>
    <x v="11"/>
    <x v="3"/>
    <x v="10"/>
    <x v="1"/>
  </r>
  <r>
    <x v="1951"/>
    <x v="0"/>
    <x v="12"/>
    <n v="11.7"/>
    <n v="46.8"/>
    <x v="71"/>
    <d v="2025-03-15T00:00:00"/>
    <x v="2"/>
    <x v="1"/>
    <x v="0"/>
    <x v="0"/>
    <x v="20"/>
    <x v="1"/>
    <x v="10"/>
    <x v="2"/>
  </r>
  <r>
    <x v="1952"/>
    <x v="3"/>
    <x v="13"/>
    <n v="83.8"/>
    <n v="502.79999999999995"/>
    <x v="71"/>
    <d v="2025-03-14T00:00:00"/>
    <x v="1"/>
    <x v="0"/>
    <x v="0"/>
    <x v="0"/>
    <x v="21"/>
    <x v="3"/>
    <x v="10"/>
    <x v="1"/>
  </r>
  <r>
    <x v="1953"/>
    <x v="0"/>
    <x v="3"/>
    <n v="14"/>
    <n v="98"/>
    <x v="71"/>
    <d v="2025-03-16T00:00:00"/>
    <x v="1"/>
    <x v="0"/>
    <x v="1"/>
    <x v="0"/>
    <x v="22"/>
    <x v="2"/>
    <x v="10"/>
    <x v="1"/>
  </r>
  <r>
    <x v="1954"/>
    <x v="16"/>
    <x v="12"/>
    <n v="77.3"/>
    <n v="309.2"/>
    <x v="71"/>
    <d v="2025-03-15T00:00:00"/>
    <x v="2"/>
    <x v="4"/>
    <x v="2"/>
    <x v="0"/>
    <x v="3"/>
    <x v="1"/>
    <x v="10"/>
    <x v="2"/>
  </r>
  <r>
    <x v="1955"/>
    <x v="2"/>
    <x v="1"/>
    <n v="76.900000000000006"/>
    <n v="153.80000000000001"/>
    <x v="71"/>
    <d v="2025-03-17T00:00:00"/>
    <x v="2"/>
    <x v="0"/>
    <x v="1"/>
    <x v="0"/>
    <x v="3"/>
    <x v="5"/>
    <x v="10"/>
    <x v="2"/>
  </r>
  <r>
    <x v="1956"/>
    <x v="1"/>
    <x v="0"/>
    <n v="48"/>
    <n v="48"/>
    <x v="71"/>
    <d v="2025-03-15T00:00:00"/>
    <x v="2"/>
    <x v="1"/>
    <x v="2"/>
    <x v="0"/>
    <x v="3"/>
    <x v="1"/>
    <x v="10"/>
    <x v="2"/>
  </r>
  <r>
    <x v="1957"/>
    <x v="2"/>
    <x v="0"/>
    <n v="94.5"/>
    <n v="94.5"/>
    <x v="71"/>
    <d v="2025-03-16T00:00:00"/>
    <x v="1"/>
    <x v="1"/>
    <x v="1"/>
    <x v="0"/>
    <x v="3"/>
    <x v="2"/>
    <x v="10"/>
    <x v="1"/>
  </r>
  <r>
    <x v="1958"/>
    <x v="10"/>
    <x v="2"/>
    <n v="58.4"/>
    <n v="175.2"/>
    <x v="71"/>
    <d v="2025-03-15T00:00:00"/>
    <x v="2"/>
    <x v="1"/>
    <x v="2"/>
    <x v="0"/>
    <x v="3"/>
    <x v="1"/>
    <x v="10"/>
    <x v="2"/>
  </r>
  <r>
    <x v="1959"/>
    <x v="7"/>
    <x v="15"/>
    <n v="42.2"/>
    <n v="548.6"/>
    <x v="71"/>
    <d v="2025-03-13T00:00:00"/>
    <x v="1"/>
    <x v="0"/>
    <x v="0"/>
    <x v="0"/>
    <x v="25"/>
    <x v="7"/>
    <x v="10"/>
    <x v="1"/>
  </r>
  <r>
    <x v="1960"/>
    <x v="6"/>
    <x v="1"/>
    <n v="152.19999999999999"/>
    <n v="304.39999999999998"/>
    <x v="71"/>
    <d v="2025-03-14T00:00:00"/>
    <x v="1"/>
    <x v="4"/>
    <x v="1"/>
    <x v="0"/>
    <x v="25"/>
    <x v="3"/>
    <x v="10"/>
    <x v="1"/>
  </r>
  <r>
    <x v="1961"/>
    <x v="6"/>
    <x v="25"/>
    <n v="72"/>
    <n v="1728"/>
    <x v="71"/>
    <d v="2025-03-14T00:00:00"/>
    <x v="1"/>
    <x v="0"/>
    <x v="1"/>
    <x v="0"/>
    <x v="6"/>
    <x v="3"/>
    <x v="10"/>
    <x v="1"/>
  </r>
  <r>
    <x v="1962"/>
    <x v="1"/>
    <x v="44"/>
    <n v="70.900000000000006"/>
    <n v="1630.7"/>
    <x v="71"/>
    <d v="2025-03-14T00:00:00"/>
    <x v="2"/>
    <x v="2"/>
    <x v="0"/>
    <x v="0"/>
    <x v="8"/>
    <x v="3"/>
    <x v="10"/>
    <x v="2"/>
  </r>
  <r>
    <x v="1963"/>
    <x v="2"/>
    <x v="1"/>
    <n v="53.7"/>
    <n v="107.4"/>
    <x v="71"/>
    <d v="2025-03-14T00:00:00"/>
    <x v="1"/>
    <x v="2"/>
    <x v="2"/>
    <x v="0"/>
    <x v="8"/>
    <x v="3"/>
    <x v="10"/>
    <x v="1"/>
  </r>
  <r>
    <x v="1964"/>
    <x v="9"/>
    <x v="12"/>
    <n v="42.9"/>
    <n v="171.6"/>
    <x v="71"/>
    <d v="2025-03-14T00:00:00"/>
    <x v="2"/>
    <x v="2"/>
    <x v="4"/>
    <x v="0"/>
    <x v="9"/>
    <x v="3"/>
    <x v="10"/>
    <x v="2"/>
  </r>
  <r>
    <x v="1965"/>
    <x v="2"/>
    <x v="3"/>
    <n v="107.5"/>
    <n v="752.5"/>
    <x v="71"/>
    <d v="2025-03-14T00:00:00"/>
    <x v="1"/>
    <x v="1"/>
    <x v="0"/>
    <x v="0"/>
    <x v="11"/>
    <x v="3"/>
    <x v="10"/>
    <x v="1"/>
  </r>
  <r>
    <x v="1966"/>
    <x v="17"/>
    <x v="27"/>
    <n v="21.5"/>
    <n v="344"/>
    <x v="71"/>
    <d v="2025-03-14T00:00:00"/>
    <x v="1"/>
    <x v="1"/>
    <x v="1"/>
    <x v="0"/>
    <x v="32"/>
    <x v="3"/>
    <x v="10"/>
    <x v="1"/>
  </r>
  <r>
    <x v="1967"/>
    <x v="3"/>
    <x v="9"/>
    <n v="85.3"/>
    <n v="426.5"/>
    <x v="71"/>
    <d v="2025-03-15T00:00:00"/>
    <x v="2"/>
    <x v="3"/>
    <x v="0"/>
    <x v="0"/>
    <x v="18"/>
    <x v="1"/>
    <x v="10"/>
    <x v="2"/>
  </r>
  <r>
    <x v="1968"/>
    <x v="7"/>
    <x v="9"/>
    <n v="80.8"/>
    <n v="404"/>
    <x v="71"/>
    <d v="2025-03-21T00:00:00"/>
    <x v="3"/>
    <x v="1"/>
    <x v="1"/>
    <x v="0"/>
    <x v="19"/>
    <x v="9"/>
    <x v="10"/>
    <x v="3"/>
  </r>
  <r>
    <x v="1969"/>
    <x v="2"/>
    <x v="2"/>
    <n v="123.1"/>
    <n v="369.29999999999995"/>
    <x v="71"/>
    <d v="2025-03-15T00:00:00"/>
    <x v="0"/>
    <x v="2"/>
    <x v="0"/>
    <x v="0"/>
    <x v="21"/>
    <x v="1"/>
    <x v="10"/>
    <x v="0"/>
  </r>
  <r>
    <x v="1970"/>
    <x v="8"/>
    <x v="1"/>
    <n v="36.9"/>
    <n v="73.8"/>
    <x v="71"/>
    <d v="2025-03-15T00:00:00"/>
    <x v="2"/>
    <x v="2"/>
    <x v="4"/>
    <x v="0"/>
    <x v="51"/>
    <x v="1"/>
    <x v="10"/>
    <x v="2"/>
  </r>
  <r>
    <x v="1971"/>
    <x v="11"/>
    <x v="9"/>
    <n v="40"/>
    <n v="200"/>
    <x v="71"/>
    <d v="2025-03-14T00:00:00"/>
    <x v="1"/>
    <x v="0"/>
    <x v="0"/>
    <x v="0"/>
    <x v="1"/>
    <x v="3"/>
    <x v="10"/>
    <x v="1"/>
  </r>
  <r>
    <x v="1972"/>
    <x v="6"/>
    <x v="2"/>
    <n v="55.5"/>
    <n v="166.5"/>
    <x v="71"/>
    <d v="2025-03-14T00:00:00"/>
    <x v="1"/>
    <x v="4"/>
    <x v="2"/>
    <x v="0"/>
    <x v="1"/>
    <x v="3"/>
    <x v="10"/>
    <x v="1"/>
  </r>
  <r>
    <x v="1973"/>
    <x v="0"/>
    <x v="12"/>
    <n v="20.5"/>
    <n v="82"/>
    <x v="71"/>
    <d v="2025-03-17T00:00:00"/>
    <x v="2"/>
    <x v="4"/>
    <x v="0"/>
    <x v="0"/>
    <x v="1"/>
    <x v="5"/>
    <x v="10"/>
    <x v="2"/>
  </r>
  <r>
    <x v="1974"/>
    <x v="18"/>
    <x v="12"/>
    <n v="50.1"/>
    <n v="200.4"/>
    <x v="71"/>
    <d v="2025-03-14T00:00:00"/>
    <x v="2"/>
    <x v="4"/>
    <x v="0"/>
    <x v="0"/>
    <x v="1"/>
    <x v="3"/>
    <x v="10"/>
    <x v="2"/>
  </r>
  <r>
    <x v="1975"/>
    <x v="9"/>
    <x v="0"/>
    <n v="35.9"/>
    <n v="35.9"/>
    <x v="71"/>
    <d v="2025-03-15T00:00:00"/>
    <x v="1"/>
    <x v="1"/>
    <x v="2"/>
    <x v="0"/>
    <x v="1"/>
    <x v="1"/>
    <x v="10"/>
    <x v="1"/>
  </r>
  <r>
    <x v="1976"/>
    <x v="13"/>
    <x v="12"/>
    <n v="29.4"/>
    <n v="117.6"/>
    <x v="72"/>
    <d v="2025-03-15T00:00:00"/>
    <x v="1"/>
    <x v="2"/>
    <x v="2"/>
    <x v="0"/>
    <x v="33"/>
    <x v="3"/>
    <x v="10"/>
    <x v="1"/>
  </r>
  <r>
    <x v="1977"/>
    <x v="8"/>
    <x v="9"/>
    <n v="29.1"/>
    <n v="145.5"/>
    <x v="72"/>
    <d v="2025-03-22T00:00:00"/>
    <x v="3"/>
    <x v="2"/>
    <x v="1"/>
    <x v="0"/>
    <x v="33"/>
    <x v="9"/>
    <x v="10"/>
    <x v="3"/>
  </r>
  <r>
    <x v="1978"/>
    <x v="8"/>
    <x v="2"/>
    <n v="33.5"/>
    <n v="100.5"/>
    <x v="72"/>
    <d v="2025-03-26T00:00:00"/>
    <x v="1"/>
    <x v="0"/>
    <x v="2"/>
    <x v="0"/>
    <x v="22"/>
    <x v="13"/>
    <x v="10"/>
    <x v="1"/>
  </r>
  <r>
    <x v="1979"/>
    <x v="4"/>
    <x v="7"/>
    <n v="36"/>
    <n v="360"/>
    <x v="72"/>
    <d v="2025-03-14T00:00:00"/>
    <x v="1"/>
    <x v="3"/>
    <x v="2"/>
    <x v="0"/>
    <x v="3"/>
    <x v="7"/>
    <x v="10"/>
    <x v="1"/>
  </r>
  <r>
    <x v="1980"/>
    <x v="16"/>
    <x v="2"/>
    <n v="57.3"/>
    <n v="171.89999999999998"/>
    <x v="72"/>
    <d v="2025-03-18T00:00:00"/>
    <x v="2"/>
    <x v="0"/>
    <x v="2"/>
    <x v="0"/>
    <x v="3"/>
    <x v="5"/>
    <x v="10"/>
    <x v="2"/>
  </r>
  <r>
    <x v="1981"/>
    <x v="1"/>
    <x v="0"/>
    <n v="81.400000000000006"/>
    <n v="81.400000000000006"/>
    <x v="72"/>
    <d v="2025-03-15T00:00:00"/>
    <x v="2"/>
    <x v="2"/>
    <x v="2"/>
    <x v="0"/>
    <x v="3"/>
    <x v="3"/>
    <x v="10"/>
    <x v="2"/>
  </r>
  <r>
    <x v="1982"/>
    <x v="10"/>
    <x v="1"/>
    <n v="35.299999999999997"/>
    <n v="70.599999999999994"/>
    <x v="72"/>
    <d v="2025-03-18T00:00:00"/>
    <x v="1"/>
    <x v="0"/>
    <x v="2"/>
    <x v="0"/>
    <x v="3"/>
    <x v="5"/>
    <x v="10"/>
    <x v="1"/>
  </r>
  <r>
    <x v="1983"/>
    <x v="3"/>
    <x v="0"/>
    <n v="36.1"/>
    <n v="36.1"/>
    <x v="72"/>
    <d v="2025-03-15T00:00:00"/>
    <x v="2"/>
    <x v="4"/>
    <x v="0"/>
    <x v="0"/>
    <x v="3"/>
    <x v="3"/>
    <x v="10"/>
    <x v="2"/>
  </r>
  <r>
    <x v="1984"/>
    <x v="1"/>
    <x v="1"/>
    <n v="36.700000000000003"/>
    <n v="73.400000000000006"/>
    <x v="72"/>
    <d v="2025-03-16T00:00:00"/>
    <x v="2"/>
    <x v="0"/>
    <x v="2"/>
    <x v="0"/>
    <x v="3"/>
    <x v="1"/>
    <x v="10"/>
    <x v="2"/>
  </r>
  <r>
    <x v="1985"/>
    <x v="10"/>
    <x v="0"/>
    <n v="20.9"/>
    <n v="20.9"/>
    <x v="72"/>
    <d v="2025-03-16T00:00:00"/>
    <x v="2"/>
    <x v="0"/>
    <x v="4"/>
    <x v="0"/>
    <x v="3"/>
    <x v="1"/>
    <x v="10"/>
    <x v="2"/>
  </r>
  <r>
    <x v="1986"/>
    <x v="12"/>
    <x v="2"/>
    <n v="58.8"/>
    <n v="176.39999999999998"/>
    <x v="72"/>
    <d v="2025-03-18T00:00:00"/>
    <x v="1"/>
    <x v="0"/>
    <x v="2"/>
    <x v="0"/>
    <x v="25"/>
    <x v="5"/>
    <x v="10"/>
    <x v="1"/>
  </r>
  <r>
    <x v="1987"/>
    <x v="2"/>
    <x v="2"/>
    <n v="97.6"/>
    <n v="292.79999999999995"/>
    <x v="73"/>
    <d v="2025-03-17T00:00:00"/>
    <x v="0"/>
    <x v="0"/>
    <x v="0"/>
    <x v="0"/>
    <x v="6"/>
    <x v="1"/>
    <x v="10"/>
    <x v="0"/>
  </r>
  <r>
    <x v="1988"/>
    <x v="1"/>
    <x v="1"/>
    <n v="58.7"/>
    <n v="117.4"/>
    <x v="73"/>
    <d v="2025-03-18T00:00:00"/>
    <x v="2"/>
    <x v="0"/>
    <x v="1"/>
    <x v="0"/>
    <x v="6"/>
    <x v="2"/>
    <x v="10"/>
    <x v="2"/>
  </r>
  <r>
    <x v="1989"/>
    <x v="6"/>
    <x v="9"/>
    <n v="71.900000000000006"/>
    <n v="359.5"/>
    <x v="73"/>
    <d v="2025-03-16T00:00:00"/>
    <x v="0"/>
    <x v="0"/>
    <x v="1"/>
    <x v="0"/>
    <x v="6"/>
    <x v="3"/>
    <x v="10"/>
    <x v="0"/>
  </r>
  <r>
    <x v="1990"/>
    <x v="1"/>
    <x v="1"/>
    <n v="62.4"/>
    <n v="124.8"/>
    <x v="73"/>
    <d v="2025-03-17T00:00:00"/>
    <x v="0"/>
    <x v="0"/>
    <x v="1"/>
    <x v="0"/>
    <x v="8"/>
    <x v="1"/>
    <x v="10"/>
    <x v="0"/>
  </r>
  <r>
    <x v="1991"/>
    <x v="6"/>
    <x v="27"/>
    <n v="53.8"/>
    <n v="860.8"/>
    <x v="73"/>
    <d v="2025-03-16T00:00:00"/>
    <x v="2"/>
    <x v="1"/>
    <x v="0"/>
    <x v="0"/>
    <x v="8"/>
    <x v="3"/>
    <x v="10"/>
    <x v="2"/>
  </r>
  <r>
    <x v="1992"/>
    <x v="9"/>
    <x v="0"/>
    <n v="43.8"/>
    <n v="43.8"/>
    <x v="73"/>
    <d v="2025-03-22T00:00:00"/>
    <x v="2"/>
    <x v="0"/>
    <x v="2"/>
    <x v="0"/>
    <x v="8"/>
    <x v="6"/>
    <x v="10"/>
    <x v="2"/>
  </r>
  <r>
    <x v="1993"/>
    <x v="5"/>
    <x v="2"/>
    <n v="53.6"/>
    <n v="160.80000000000001"/>
    <x v="73"/>
    <d v="2025-03-16T00:00:00"/>
    <x v="1"/>
    <x v="3"/>
    <x v="0"/>
    <x v="0"/>
    <x v="8"/>
    <x v="3"/>
    <x v="10"/>
    <x v="1"/>
  </r>
  <r>
    <x v="1994"/>
    <x v="12"/>
    <x v="1"/>
    <n v="84.3"/>
    <n v="168.6"/>
    <x v="73"/>
    <d v="2025-03-18T00:00:00"/>
    <x v="1"/>
    <x v="4"/>
    <x v="1"/>
    <x v="0"/>
    <x v="8"/>
    <x v="2"/>
    <x v="10"/>
    <x v="1"/>
  </r>
  <r>
    <x v="1995"/>
    <x v="6"/>
    <x v="11"/>
    <n v="117.9"/>
    <n v="1061.1000000000001"/>
    <x v="73"/>
    <d v="2025-03-16T00:00:00"/>
    <x v="2"/>
    <x v="1"/>
    <x v="2"/>
    <x v="0"/>
    <x v="8"/>
    <x v="3"/>
    <x v="10"/>
    <x v="2"/>
  </r>
  <r>
    <x v="1996"/>
    <x v="4"/>
    <x v="8"/>
    <n v="30"/>
    <n v="240"/>
    <x v="73"/>
    <d v="2025-03-16T00:00:00"/>
    <x v="2"/>
    <x v="1"/>
    <x v="0"/>
    <x v="0"/>
    <x v="26"/>
    <x v="3"/>
    <x v="10"/>
    <x v="2"/>
  </r>
  <r>
    <x v="1997"/>
    <x v="14"/>
    <x v="2"/>
    <n v="37.299999999999997"/>
    <n v="111.89999999999999"/>
    <x v="73"/>
    <d v="2025-03-16T00:00:00"/>
    <x v="1"/>
    <x v="2"/>
    <x v="0"/>
    <x v="0"/>
    <x v="9"/>
    <x v="3"/>
    <x v="10"/>
    <x v="1"/>
  </r>
  <r>
    <x v="1998"/>
    <x v="4"/>
    <x v="11"/>
    <n v="25.1"/>
    <n v="225.9"/>
    <x v="73"/>
    <d v="2025-03-17T00:00:00"/>
    <x v="1"/>
    <x v="1"/>
    <x v="2"/>
    <x v="0"/>
    <x v="11"/>
    <x v="1"/>
    <x v="10"/>
    <x v="1"/>
  </r>
  <r>
    <x v="1999"/>
    <x v="8"/>
    <x v="5"/>
    <n v="36"/>
    <n v="396"/>
    <x v="73"/>
    <d v="2025-03-25T00:00:00"/>
    <x v="1"/>
    <x v="1"/>
    <x v="0"/>
    <x v="0"/>
    <x v="18"/>
    <x v="14"/>
    <x v="10"/>
    <x v="1"/>
  </r>
  <r>
    <x v="2000"/>
    <x v="16"/>
    <x v="2"/>
    <n v="48.5"/>
    <n v="145.5"/>
    <x v="73"/>
    <d v="2025-03-19T00:00:00"/>
    <x v="2"/>
    <x v="1"/>
    <x v="0"/>
    <x v="0"/>
    <x v="19"/>
    <x v="5"/>
    <x v="10"/>
    <x v="2"/>
  </r>
  <r>
    <x v="2001"/>
    <x v="17"/>
    <x v="13"/>
    <n v="21.1"/>
    <n v="126.60000000000001"/>
    <x v="73"/>
    <d v="2025-03-16T00:00:00"/>
    <x v="1"/>
    <x v="1"/>
    <x v="2"/>
    <x v="0"/>
    <x v="21"/>
    <x v="3"/>
    <x v="10"/>
    <x v="1"/>
  </r>
  <r>
    <x v="2002"/>
    <x v="15"/>
    <x v="21"/>
    <n v="43.2"/>
    <n v="604.80000000000007"/>
    <x v="73"/>
    <d v="2025-03-16T00:00:00"/>
    <x v="3"/>
    <x v="0"/>
    <x v="1"/>
    <x v="0"/>
    <x v="21"/>
    <x v="3"/>
    <x v="10"/>
    <x v="3"/>
  </r>
  <r>
    <x v="2003"/>
    <x v="9"/>
    <x v="1"/>
    <n v="21.1"/>
    <n v="42.2"/>
    <x v="73"/>
    <d v="2025-03-16T00:00:00"/>
    <x v="0"/>
    <x v="3"/>
    <x v="1"/>
    <x v="0"/>
    <x v="21"/>
    <x v="3"/>
    <x v="10"/>
    <x v="0"/>
  </r>
  <r>
    <x v="2004"/>
    <x v="6"/>
    <x v="12"/>
    <n v="41.3"/>
    <n v="165.2"/>
    <x v="73"/>
    <d v="2025-03-17T00:00:00"/>
    <x v="2"/>
    <x v="3"/>
    <x v="2"/>
    <x v="0"/>
    <x v="1"/>
    <x v="1"/>
    <x v="10"/>
    <x v="2"/>
  </r>
  <r>
    <x v="2005"/>
    <x v="8"/>
    <x v="1"/>
    <n v="15.3"/>
    <n v="30.6"/>
    <x v="73"/>
    <d v="2025-03-18T00:00:00"/>
    <x v="0"/>
    <x v="2"/>
    <x v="2"/>
    <x v="0"/>
    <x v="1"/>
    <x v="2"/>
    <x v="10"/>
    <x v="0"/>
  </r>
  <r>
    <x v="2006"/>
    <x v="1"/>
    <x v="0"/>
    <n v="54.6"/>
    <n v="54.6"/>
    <x v="73"/>
    <d v="2025-03-17T00:00:00"/>
    <x v="1"/>
    <x v="1"/>
    <x v="1"/>
    <x v="0"/>
    <x v="2"/>
    <x v="1"/>
    <x v="10"/>
    <x v="1"/>
  </r>
  <r>
    <x v="2007"/>
    <x v="8"/>
    <x v="0"/>
    <n v="15.9"/>
    <n v="15.9"/>
    <x v="73"/>
    <d v="2025-03-16T00:00:00"/>
    <x v="1"/>
    <x v="0"/>
    <x v="1"/>
    <x v="0"/>
    <x v="22"/>
    <x v="3"/>
    <x v="10"/>
    <x v="1"/>
  </r>
  <r>
    <x v="2008"/>
    <x v="9"/>
    <x v="0"/>
    <n v="50.2"/>
    <n v="50.2"/>
    <x v="73"/>
    <d v="2025-03-17T00:00:00"/>
    <x v="2"/>
    <x v="3"/>
    <x v="2"/>
    <x v="0"/>
    <x v="34"/>
    <x v="1"/>
    <x v="10"/>
    <x v="2"/>
  </r>
  <r>
    <x v="2009"/>
    <x v="11"/>
    <x v="12"/>
    <n v="85.1"/>
    <n v="340.4"/>
    <x v="73"/>
    <d v="2025-03-16T00:00:00"/>
    <x v="2"/>
    <x v="3"/>
    <x v="4"/>
    <x v="0"/>
    <x v="34"/>
    <x v="3"/>
    <x v="10"/>
    <x v="2"/>
  </r>
  <r>
    <x v="2010"/>
    <x v="11"/>
    <x v="1"/>
    <n v="41.4"/>
    <n v="82.8"/>
    <x v="73"/>
    <d v="2025-03-16T00:00:00"/>
    <x v="2"/>
    <x v="0"/>
    <x v="2"/>
    <x v="0"/>
    <x v="3"/>
    <x v="3"/>
    <x v="10"/>
    <x v="2"/>
  </r>
  <r>
    <x v="2011"/>
    <x v="4"/>
    <x v="3"/>
    <n v="32.700000000000003"/>
    <n v="228.90000000000003"/>
    <x v="73"/>
    <d v="2025-03-16T00:00:00"/>
    <x v="2"/>
    <x v="2"/>
    <x v="1"/>
    <x v="0"/>
    <x v="3"/>
    <x v="3"/>
    <x v="10"/>
    <x v="2"/>
  </r>
  <r>
    <x v="2012"/>
    <x v="4"/>
    <x v="1"/>
    <n v="41.6"/>
    <n v="83.2"/>
    <x v="73"/>
    <d v="2025-03-17T00:00:00"/>
    <x v="1"/>
    <x v="4"/>
    <x v="1"/>
    <x v="0"/>
    <x v="3"/>
    <x v="1"/>
    <x v="10"/>
    <x v="1"/>
  </r>
  <r>
    <x v="2013"/>
    <x v="5"/>
    <x v="12"/>
    <n v="64.8"/>
    <n v="259.2"/>
    <x v="73"/>
    <d v="2025-03-16T00:00:00"/>
    <x v="0"/>
    <x v="2"/>
    <x v="0"/>
    <x v="0"/>
    <x v="3"/>
    <x v="3"/>
    <x v="10"/>
    <x v="0"/>
  </r>
  <r>
    <x v="2014"/>
    <x v="15"/>
    <x v="1"/>
    <n v="33.6"/>
    <n v="67.2"/>
    <x v="73"/>
    <d v="2025-03-16T00:00:00"/>
    <x v="1"/>
    <x v="0"/>
    <x v="2"/>
    <x v="0"/>
    <x v="3"/>
    <x v="3"/>
    <x v="10"/>
    <x v="1"/>
  </r>
  <r>
    <x v="2015"/>
    <x v="6"/>
    <x v="2"/>
    <n v="100.7"/>
    <n v="302.10000000000002"/>
    <x v="73"/>
    <d v="2025-03-16T00:00:00"/>
    <x v="0"/>
    <x v="1"/>
    <x v="0"/>
    <x v="0"/>
    <x v="3"/>
    <x v="3"/>
    <x v="10"/>
    <x v="0"/>
  </r>
  <r>
    <x v="2016"/>
    <x v="4"/>
    <x v="1"/>
    <n v="49.3"/>
    <n v="98.6"/>
    <x v="74"/>
    <d v="2025-03-18T00:00:00"/>
    <x v="2"/>
    <x v="4"/>
    <x v="2"/>
    <x v="0"/>
    <x v="3"/>
    <x v="1"/>
    <x v="11"/>
    <x v="2"/>
  </r>
  <r>
    <x v="2017"/>
    <x v="2"/>
    <x v="13"/>
    <n v="97"/>
    <n v="582"/>
    <x v="74"/>
    <d v="2025-03-19T00:00:00"/>
    <x v="1"/>
    <x v="2"/>
    <x v="2"/>
    <x v="0"/>
    <x v="3"/>
    <x v="2"/>
    <x v="11"/>
    <x v="1"/>
  </r>
  <r>
    <x v="2018"/>
    <x v="0"/>
    <x v="13"/>
    <n v="25.2"/>
    <n v="151.19999999999999"/>
    <x v="74"/>
    <d v="2025-03-19T00:00:00"/>
    <x v="2"/>
    <x v="4"/>
    <x v="2"/>
    <x v="0"/>
    <x v="3"/>
    <x v="2"/>
    <x v="11"/>
    <x v="2"/>
  </r>
  <r>
    <x v="2019"/>
    <x v="0"/>
    <x v="5"/>
    <n v="12.2"/>
    <n v="134.19999999999999"/>
    <x v="74"/>
    <d v="2025-03-17T00:00:00"/>
    <x v="0"/>
    <x v="0"/>
    <x v="1"/>
    <x v="0"/>
    <x v="3"/>
    <x v="3"/>
    <x v="11"/>
    <x v="0"/>
  </r>
  <r>
    <x v="2020"/>
    <x v="8"/>
    <x v="3"/>
    <n v="38.799999999999997"/>
    <n v="271.59999999999997"/>
    <x v="74"/>
    <d v="2025-03-18T00:00:00"/>
    <x v="2"/>
    <x v="1"/>
    <x v="1"/>
    <x v="0"/>
    <x v="23"/>
    <x v="1"/>
    <x v="11"/>
    <x v="2"/>
  </r>
  <r>
    <x v="2021"/>
    <x v="2"/>
    <x v="12"/>
    <n v="53.2"/>
    <n v="212.8"/>
    <x v="74"/>
    <d v="2025-03-17T00:00:00"/>
    <x v="1"/>
    <x v="0"/>
    <x v="2"/>
    <x v="0"/>
    <x v="8"/>
    <x v="3"/>
    <x v="11"/>
    <x v="1"/>
  </r>
  <r>
    <x v="2022"/>
    <x v="6"/>
    <x v="3"/>
    <n v="151"/>
    <n v="1057"/>
    <x v="74"/>
    <d v="2025-03-17T00:00:00"/>
    <x v="3"/>
    <x v="1"/>
    <x v="1"/>
    <x v="0"/>
    <x v="8"/>
    <x v="3"/>
    <x v="11"/>
    <x v="3"/>
  </r>
  <r>
    <x v="2023"/>
    <x v="1"/>
    <x v="1"/>
    <n v="37.1"/>
    <n v="74.2"/>
    <x v="74"/>
    <d v="2025-03-17T00:00:00"/>
    <x v="2"/>
    <x v="4"/>
    <x v="0"/>
    <x v="0"/>
    <x v="8"/>
    <x v="3"/>
    <x v="11"/>
    <x v="2"/>
  </r>
  <r>
    <x v="2024"/>
    <x v="5"/>
    <x v="1"/>
    <n v="38.9"/>
    <n v="77.8"/>
    <x v="74"/>
    <d v="2025-03-17T00:00:00"/>
    <x v="1"/>
    <x v="4"/>
    <x v="0"/>
    <x v="0"/>
    <x v="8"/>
    <x v="3"/>
    <x v="11"/>
    <x v="1"/>
  </r>
  <r>
    <x v="2025"/>
    <x v="10"/>
    <x v="1"/>
    <n v="35.200000000000003"/>
    <n v="70.400000000000006"/>
    <x v="74"/>
    <d v="2025-03-17T00:00:00"/>
    <x v="1"/>
    <x v="0"/>
    <x v="2"/>
    <x v="0"/>
    <x v="17"/>
    <x v="3"/>
    <x v="11"/>
    <x v="1"/>
  </r>
  <r>
    <x v="2026"/>
    <x v="0"/>
    <x v="1"/>
    <n v="22.3"/>
    <n v="44.6"/>
    <x v="74"/>
    <d v="2025-03-18T00:00:00"/>
    <x v="2"/>
    <x v="1"/>
    <x v="0"/>
    <x v="0"/>
    <x v="9"/>
    <x v="1"/>
    <x v="11"/>
    <x v="2"/>
  </r>
  <r>
    <x v="2027"/>
    <x v="9"/>
    <x v="0"/>
    <n v="43.3"/>
    <n v="43.3"/>
    <x v="74"/>
    <d v="2025-03-19T00:00:00"/>
    <x v="2"/>
    <x v="0"/>
    <x v="2"/>
    <x v="0"/>
    <x v="11"/>
    <x v="2"/>
    <x v="11"/>
    <x v="2"/>
  </r>
  <r>
    <x v="2028"/>
    <x v="6"/>
    <x v="13"/>
    <n v="75.900000000000006"/>
    <n v="455.40000000000003"/>
    <x v="74"/>
    <d v="2025-03-22T00:00:00"/>
    <x v="1"/>
    <x v="0"/>
    <x v="0"/>
    <x v="0"/>
    <x v="11"/>
    <x v="4"/>
    <x v="11"/>
    <x v="1"/>
  </r>
  <r>
    <x v="2029"/>
    <x v="6"/>
    <x v="2"/>
    <n v="78.7"/>
    <n v="236.10000000000002"/>
    <x v="74"/>
    <d v="2025-03-20T00:00:00"/>
    <x v="2"/>
    <x v="2"/>
    <x v="1"/>
    <x v="0"/>
    <x v="11"/>
    <x v="5"/>
    <x v="11"/>
    <x v="2"/>
  </r>
  <r>
    <x v="2030"/>
    <x v="1"/>
    <x v="0"/>
    <n v="66.3"/>
    <n v="66.3"/>
    <x v="74"/>
    <d v="2025-03-20T00:00:00"/>
    <x v="2"/>
    <x v="0"/>
    <x v="2"/>
    <x v="0"/>
    <x v="19"/>
    <x v="5"/>
    <x v="11"/>
    <x v="2"/>
  </r>
  <r>
    <x v="2031"/>
    <x v="8"/>
    <x v="1"/>
    <n v="33.6"/>
    <n v="67.2"/>
    <x v="74"/>
    <d v="2025-03-16T00:00:00"/>
    <x v="1"/>
    <x v="0"/>
    <x v="1"/>
    <x v="0"/>
    <x v="19"/>
    <x v="7"/>
    <x v="11"/>
    <x v="1"/>
  </r>
  <r>
    <x v="2032"/>
    <x v="2"/>
    <x v="3"/>
    <n v="61.4"/>
    <n v="429.8"/>
    <x v="74"/>
    <d v="2025-03-17T00:00:00"/>
    <x v="1"/>
    <x v="4"/>
    <x v="0"/>
    <x v="0"/>
    <x v="19"/>
    <x v="3"/>
    <x v="11"/>
    <x v="1"/>
  </r>
  <r>
    <x v="2033"/>
    <x v="8"/>
    <x v="1"/>
    <n v="17.5"/>
    <n v="35"/>
    <x v="74"/>
    <d v="2025-03-19T00:00:00"/>
    <x v="2"/>
    <x v="0"/>
    <x v="0"/>
    <x v="0"/>
    <x v="21"/>
    <x v="2"/>
    <x v="11"/>
    <x v="2"/>
  </r>
  <r>
    <x v="2034"/>
    <x v="8"/>
    <x v="1"/>
    <n v="32.5"/>
    <n v="65"/>
    <x v="74"/>
    <d v="2025-03-19T00:00:00"/>
    <x v="2"/>
    <x v="1"/>
    <x v="0"/>
    <x v="0"/>
    <x v="21"/>
    <x v="2"/>
    <x v="11"/>
    <x v="2"/>
  </r>
  <r>
    <x v="2035"/>
    <x v="4"/>
    <x v="0"/>
    <n v="34.6"/>
    <n v="34.6"/>
    <x v="74"/>
    <d v="2025-03-17T00:00:00"/>
    <x v="2"/>
    <x v="4"/>
    <x v="0"/>
    <x v="0"/>
    <x v="21"/>
    <x v="3"/>
    <x v="11"/>
    <x v="2"/>
  </r>
  <r>
    <x v="2036"/>
    <x v="2"/>
    <x v="0"/>
    <n v="75.900000000000006"/>
    <n v="75.900000000000006"/>
    <x v="74"/>
    <d v="2025-03-16T00:00:00"/>
    <x v="1"/>
    <x v="1"/>
    <x v="2"/>
    <x v="0"/>
    <x v="21"/>
    <x v="7"/>
    <x v="11"/>
    <x v="1"/>
  </r>
  <r>
    <x v="2037"/>
    <x v="1"/>
    <x v="2"/>
    <n v="42.1"/>
    <n v="126.30000000000001"/>
    <x v="74"/>
    <d v="2025-03-19T00:00:00"/>
    <x v="1"/>
    <x v="1"/>
    <x v="1"/>
    <x v="0"/>
    <x v="21"/>
    <x v="2"/>
    <x v="11"/>
    <x v="1"/>
  </r>
  <r>
    <x v="2038"/>
    <x v="7"/>
    <x v="2"/>
    <n v="65.3"/>
    <n v="195.89999999999998"/>
    <x v="74"/>
    <d v="2025-03-23T00:00:00"/>
    <x v="1"/>
    <x v="0"/>
    <x v="0"/>
    <x v="0"/>
    <x v="1"/>
    <x v="6"/>
    <x v="11"/>
    <x v="1"/>
  </r>
  <r>
    <x v="2039"/>
    <x v="15"/>
    <x v="0"/>
    <n v="20.6"/>
    <n v="20.6"/>
    <x v="74"/>
    <d v="2025-03-19T00:00:00"/>
    <x v="1"/>
    <x v="3"/>
    <x v="0"/>
    <x v="0"/>
    <x v="42"/>
    <x v="2"/>
    <x v="11"/>
    <x v="1"/>
  </r>
  <r>
    <x v="2040"/>
    <x v="8"/>
    <x v="3"/>
    <n v="16.5"/>
    <n v="115.5"/>
    <x v="74"/>
    <d v="2025-03-17T00:00:00"/>
    <x v="1"/>
    <x v="1"/>
    <x v="1"/>
    <x v="0"/>
    <x v="2"/>
    <x v="3"/>
    <x v="11"/>
    <x v="1"/>
  </r>
  <r>
    <x v="2041"/>
    <x v="16"/>
    <x v="7"/>
    <n v="36.200000000000003"/>
    <n v="362"/>
    <x v="74"/>
    <d v="2025-03-18T00:00:00"/>
    <x v="1"/>
    <x v="0"/>
    <x v="2"/>
    <x v="0"/>
    <x v="2"/>
    <x v="1"/>
    <x v="11"/>
    <x v="1"/>
  </r>
  <r>
    <x v="2042"/>
    <x v="6"/>
    <x v="0"/>
    <n v="53.2"/>
    <n v="53.2"/>
    <x v="74"/>
    <d v="2025-03-17T00:00:00"/>
    <x v="2"/>
    <x v="0"/>
    <x v="1"/>
    <x v="0"/>
    <x v="22"/>
    <x v="3"/>
    <x v="11"/>
    <x v="2"/>
  </r>
  <r>
    <x v="2043"/>
    <x v="2"/>
    <x v="21"/>
    <n v="176"/>
    <n v="2464"/>
    <x v="74"/>
    <d v="2025-03-17T00:00:00"/>
    <x v="2"/>
    <x v="0"/>
    <x v="1"/>
    <x v="0"/>
    <x v="3"/>
    <x v="3"/>
    <x v="11"/>
    <x v="2"/>
  </r>
  <r>
    <x v="2044"/>
    <x v="1"/>
    <x v="0"/>
    <n v="52.4"/>
    <n v="52.4"/>
    <x v="74"/>
    <d v="2025-03-17T00:00:00"/>
    <x v="1"/>
    <x v="1"/>
    <x v="0"/>
    <x v="0"/>
    <x v="3"/>
    <x v="3"/>
    <x v="11"/>
    <x v="1"/>
  </r>
  <r>
    <x v="2045"/>
    <x v="10"/>
    <x v="2"/>
    <n v="48.2"/>
    <n v="144.60000000000002"/>
    <x v="74"/>
    <d v="2025-03-17T00:00:00"/>
    <x v="2"/>
    <x v="1"/>
    <x v="2"/>
    <x v="0"/>
    <x v="3"/>
    <x v="3"/>
    <x v="11"/>
    <x v="2"/>
  </r>
  <r>
    <x v="2046"/>
    <x v="15"/>
    <x v="0"/>
    <n v="51.6"/>
    <n v="51.6"/>
    <x v="74"/>
    <d v="2025-03-20T00:00:00"/>
    <x v="2"/>
    <x v="2"/>
    <x v="1"/>
    <x v="0"/>
    <x v="3"/>
    <x v="5"/>
    <x v="11"/>
    <x v="2"/>
  </r>
  <r>
    <x v="2047"/>
    <x v="0"/>
    <x v="12"/>
    <n v="33.700000000000003"/>
    <n v="134.80000000000001"/>
    <x v="75"/>
    <d v="2025-03-18T00:00:00"/>
    <x v="1"/>
    <x v="0"/>
    <x v="0"/>
    <x v="0"/>
    <x v="3"/>
    <x v="3"/>
    <x v="11"/>
    <x v="1"/>
  </r>
  <r>
    <x v="2048"/>
    <x v="4"/>
    <x v="7"/>
    <n v="36.299999999999997"/>
    <n v="363"/>
    <x v="75"/>
    <d v="2025-03-19T00:00:00"/>
    <x v="2"/>
    <x v="4"/>
    <x v="1"/>
    <x v="0"/>
    <x v="3"/>
    <x v="1"/>
    <x v="11"/>
    <x v="2"/>
  </r>
  <r>
    <x v="2049"/>
    <x v="8"/>
    <x v="0"/>
    <n v="23.4"/>
    <n v="23.4"/>
    <x v="75"/>
    <d v="2025-03-22T00:00:00"/>
    <x v="2"/>
    <x v="1"/>
    <x v="2"/>
    <x v="0"/>
    <x v="3"/>
    <x v="0"/>
    <x v="11"/>
    <x v="2"/>
  </r>
  <r>
    <x v="2050"/>
    <x v="15"/>
    <x v="8"/>
    <n v="56.6"/>
    <n v="452.8"/>
    <x v="75"/>
    <d v="2025-03-19T00:00:00"/>
    <x v="2"/>
    <x v="1"/>
    <x v="0"/>
    <x v="0"/>
    <x v="3"/>
    <x v="1"/>
    <x v="11"/>
    <x v="2"/>
  </r>
  <r>
    <x v="2051"/>
    <x v="15"/>
    <x v="1"/>
    <n v="26.8"/>
    <n v="53.6"/>
    <x v="75"/>
    <d v="2025-03-18T00:00:00"/>
    <x v="1"/>
    <x v="0"/>
    <x v="0"/>
    <x v="0"/>
    <x v="4"/>
    <x v="3"/>
    <x v="11"/>
    <x v="1"/>
  </r>
  <r>
    <x v="2052"/>
    <x v="0"/>
    <x v="2"/>
    <n v="11.3"/>
    <n v="33.900000000000006"/>
    <x v="75"/>
    <d v="2025-03-19T00:00:00"/>
    <x v="1"/>
    <x v="2"/>
    <x v="0"/>
    <x v="0"/>
    <x v="25"/>
    <x v="1"/>
    <x v="11"/>
    <x v="1"/>
  </r>
  <r>
    <x v="2053"/>
    <x v="6"/>
    <x v="2"/>
    <n v="60.1"/>
    <n v="180.3"/>
    <x v="75"/>
    <d v="2025-03-20T00:00:00"/>
    <x v="2"/>
    <x v="0"/>
    <x v="0"/>
    <x v="0"/>
    <x v="7"/>
    <x v="2"/>
    <x v="11"/>
    <x v="2"/>
  </r>
  <r>
    <x v="2054"/>
    <x v="0"/>
    <x v="5"/>
    <n v="27.7"/>
    <n v="304.7"/>
    <x v="75"/>
    <d v="2025-03-22T00:00:00"/>
    <x v="2"/>
    <x v="0"/>
    <x v="0"/>
    <x v="0"/>
    <x v="8"/>
    <x v="0"/>
    <x v="11"/>
    <x v="2"/>
  </r>
  <r>
    <x v="2055"/>
    <x v="15"/>
    <x v="0"/>
    <n v="71.400000000000006"/>
    <n v="71.400000000000006"/>
    <x v="75"/>
    <d v="2025-03-20T00:00:00"/>
    <x v="1"/>
    <x v="0"/>
    <x v="2"/>
    <x v="0"/>
    <x v="8"/>
    <x v="2"/>
    <x v="11"/>
    <x v="1"/>
  </r>
  <r>
    <x v="2056"/>
    <x v="2"/>
    <x v="1"/>
    <n v="66.7"/>
    <n v="133.4"/>
    <x v="75"/>
    <d v="2025-03-18T00:00:00"/>
    <x v="2"/>
    <x v="0"/>
    <x v="2"/>
    <x v="0"/>
    <x v="8"/>
    <x v="3"/>
    <x v="11"/>
    <x v="2"/>
  </r>
  <r>
    <x v="2057"/>
    <x v="13"/>
    <x v="9"/>
    <n v="39.1"/>
    <n v="195.5"/>
    <x v="75"/>
    <d v="2025-03-18T00:00:00"/>
    <x v="2"/>
    <x v="0"/>
    <x v="0"/>
    <x v="0"/>
    <x v="8"/>
    <x v="3"/>
    <x v="11"/>
    <x v="2"/>
  </r>
  <r>
    <x v="2058"/>
    <x v="8"/>
    <x v="12"/>
    <n v="24.9"/>
    <n v="99.6"/>
    <x v="75"/>
    <d v="2025-03-22T00:00:00"/>
    <x v="1"/>
    <x v="1"/>
    <x v="2"/>
    <x v="0"/>
    <x v="8"/>
    <x v="0"/>
    <x v="11"/>
    <x v="1"/>
  </r>
  <r>
    <x v="2059"/>
    <x v="5"/>
    <x v="9"/>
    <n v="29.2"/>
    <n v="146"/>
    <x v="75"/>
    <d v="2025-03-18T00:00:00"/>
    <x v="1"/>
    <x v="0"/>
    <x v="2"/>
    <x v="0"/>
    <x v="17"/>
    <x v="3"/>
    <x v="11"/>
    <x v="1"/>
  </r>
  <r>
    <x v="2060"/>
    <x v="13"/>
    <x v="21"/>
    <n v="28.3"/>
    <n v="396.2"/>
    <x v="75"/>
    <d v="2025-03-19T00:00:00"/>
    <x v="2"/>
    <x v="1"/>
    <x v="0"/>
    <x v="0"/>
    <x v="11"/>
    <x v="1"/>
    <x v="11"/>
    <x v="2"/>
  </r>
  <r>
    <x v="2061"/>
    <x v="9"/>
    <x v="2"/>
    <n v="37.799999999999997"/>
    <n v="113.39999999999999"/>
    <x v="75"/>
    <d v="2025-03-18T00:00:00"/>
    <x v="2"/>
    <x v="0"/>
    <x v="1"/>
    <x v="0"/>
    <x v="11"/>
    <x v="3"/>
    <x v="11"/>
    <x v="2"/>
  </r>
  <r>
    <x v="2062"/>
    <x v="14"/>
    <x v="3"/>
    <n v="28.1"/>
    <n v="196.70000000000002"/>
    <x v="75"/>
    <d v="2025-03-23T00:00:00"/>
    <x v="2"/>
    <x v="2"/>
    <x v="0"/>
    <x v="0"/>
    <x v="11"/>
    <x v="4"/>
    <x v="11"/>
    <x v="2"/>
  </r>
  <r>
    <x v="2063"/>
    <x v="1"/>
    <x v="2"/>
    <n v="59.7"/>
    <n v="179.10000000000002"/>
    <x v="75"/>
    <d v="2025-03-19T00:00:00"/>
    <x v="2"/>
    <x v="2"/>
    <x v="0"/>
    <x v="0"/>
    <x v="11"/>
    <x v="1"/>
    <x v="11"/>
    <x v="2"/>
  </r>
  <r>
    <x v="2064"/>
    <x v="16"/>
    <x v="0"/>
    <n v="71.900000000000006"/>
    <n v="71.900000000000006"/>
    <x v="75"/>
    <d v="2025-03-18T00:00:00"/>
    <x v="1"/>
    <x v="1"/>
    <x v="1"/>
    <x v="0"/>
    <x v="11"/>
    <x v="3"/>
    <x v="11"/>
    <x v="1"/>
  </r>
  <r>
    <x v="2065"/>
    <x v="1"/>
    <x v="1"/>
    <n v="56.9"/>
    <n v="113.8"/>
    <x v="75"/>
    <d v="2025-03-18T00:00:00"/>
    <x v="1"/>
    <x v="2"/>
    <x v="0"/>
    <x v="0"/>
    <x v="13"/>
    <x v="3"/>
    <x v="11"/>
    <x v="1"/>
  </r>
  <r>
    <x v="2066"/>
    <x v="8"/>
    <x v="1"/>
    <n v="15.8"/>
    <n v="31.6"/>
    <x v="75"/>
    <d v="2025-03-20T00:00:00"/>
    <x v="2"/>
    <x v="2"/>
    <x v="1"/>
    <x v="0"/>
    <x v="1"/>
    <x v="2"/>
    <x v="11"/>
    <x v="2"/>
  </r>
  <r>
    <x v="2067"/>
    <x v="11"/>
    <x v="12"/>
    <n v="61.7"/>
    <n v="246.8"/>
    <x v="75"/>
    <d v="2025-03-19T00:00:00"/>
    <x v="2"/>
    <x v="2"/>
    <x v="0"/>
    <x v="0"/>
    <x v="22"/>
    <x v="1"/>
    <x v="11"/>
    <x v="2"/>
  </r>
  <r>
    <x v="2068"/>
    <x v="2"/>
    <x v="7"/>
    <n v="105.2"/>
    <n v="1052"/>
    <x v="75"/>
    <d v="2025-03-19T00:00:00"/>
    <x v="1"/>
    <x v="1"/>
    <x v="4"/>
    <x v="0"/>
    <x v="3"/>
    <x v="1"/>
    <x v="11"/>
    <x v="1"/>
  </r>
  <r>
    <x v="2069"/>
    <x v="0"/>
    <x v="1"/>
    <n v="17"/>
    <n v="34"/>
    <x v="75"/>
    <d v="2025-03-19T00:00:00"/>
    <x v="2"/>
    <x v="2"/>
    <x v="0"/>
    <x v="0"/>
    <x v="3"/>
    <x v="1"/>
    <x v="11"/>
    <x v="2"/>
  </r>
  <r>
    <x v="2070"/>
    <x v="6"/>
    <x v="2"/>
    <n v="84.1"/>
    <n v="252.29999999999998"/>
    <x v="75"/>
    <d v="2025-03-18T00:00:00"/>
    <x v="1"/>
    <x v="2"/>
    <x v="0"/>
    <x v="0"/>
    <x v="3"/>
    <x v="3"/>
    <x v="11"/>
    <x v="1"/>
  </r>
  <r>
    <x v="2071"/>
    <x v="3"/>
    <x v="12"/>
    <n v="59.5"/>
    <n v="238"/>
    <x v="75"/>
    <d v="2025-03-22T00:00:00"/>
    <x v="1"/>
    <x v="0"/>
    <x v="2"/>
    <x v="0"/>
    <x v="3"/>
    <x v="0"/>
    <x v="11"/>
    <x v="1"/>
  </r>
  <r>
    <x v="2072"/>
    <x v="8"/>
    <x v="1"/>
    <n v="57.5"/>
    <n v="115"/>
    <x v="75"/>
    <d v="2025-03-19T00:00:00"/>
    <x v="1"/>
    <x v="1"/>
    <x v="2"/>
    <x v="0"/>
    <x v="3"/>
    <x v="1"/>
    <x v="11"/>
    <x v="1"/>
  </r>
  <r>
    <x v="2073"/>
    <x v="8"/>
    <x v="0"/>
    <n v="34.299999999999997"/>
    <n v="34.299999999999997"/>
    <x v="75"/>
    <d v="2025-03-18T00:00:00"/>
    <x v="2"/>
    <x v="4"/>
    <x v="2"/>
    <x v="0"/>
    <x v="3"/>
    <x v="3"/>
    <x v="11"/>
    <x v="2"/>
  </r>
  <r>
    <x v="2074"/>
    <x v="5"/>
    <x v="1"/>
    <n v="27.8"/>
    <n v="55.6"/>
    <x v="76"/>
    <d v="2025-03-20T00:00:00"/>
    <x v="2"/>
    <x v="0"/>
    <x v="0"/>
    <x v="0"/>
    <x v="3"/>
    <x v="1"/>
    <x v="11"/>
    <x v="2"/>
  </r>
  <r>
    <x v="2075"/>
    <x v="12"/>
    <x v="1"/>
    <n v="85"/>
    <n v="170"/>
    <x v="76"/>
    <d v="2025-03-18T00:00:00"/>
    <x v="1"/>
    <x v="2"/>
    <x v="2"/>
    <x v="0"/>
    <x v="3"/>
    <x v="7"/>
    <x v="11"/>
    <x v="1"/>
  </r>
  <r>
    <x v="2076"/>
    <x v="6"/>
    <x v="1"/>
    <n v="95"/>
    <n v="190"/>
    <x v="76"/>
    <d v="2025-03-20T00:00:00"/>
    <x v="2"/>
    <x v="0"/>
    <x v="0"/>
    <x v="0"/>
    <x v="3"/>
    <x v="1"/>
    <x v="11"/>
    <x v="2"/>
  </r>
  <r>
    <x v="2077"/>
    <x v="16"/>
    <x v="1"/>
    <n v="32"/>
    <n v="64"/>
    <x v="76"/>
    <d v="2025-03-20T00:00:00"/>
    <x v="1"/>
    <x v="0"/>
    <x v="1"/>
    <x v="0"/>
    <x v="3"/>
    <x v="1"/>
    <x v="11"/>
    <x v="1"/>
  </r>
  <r>
    <x v="2078"/>
    <x v="2"/>
    <x v="1"/>
    <n v="65.2"/>
    <n v="130.4"/>
    <x v="76"/>
    <d v="2025-03-19T00:00:00"/>
    <x v="2"/>
    <x v="1"/>
    <x v="0"/>
    <x v="0"/>
    <x v="3"/>
    <x v="3"/>
    <x v="11"/>
    <x v="2"/>
  </r>
  <r>
    <x v="2079"/>
    <x v="17"/>
    <x v="12"/>
    <n v="22"/>
    <n v="88"/>
    <x v="76"/>
    <d v="2025-03-19T00:00:00"/>
    <x v="1"/>
    <x v="1"/>
    <x v="2"/>
    <x v="0"/>
    <x v="3"/>
    <x v="3"/>
    <x v="11"/>
    <x v="1"/>
  </r>
  <r>
    <x v="2080"/>
    <x v="15"/>
    <x v="2"/>
    <n v="69.400000000000006"/>
    <n v="208.20000000000002"/>
    <x v="76"/>
    <d v="2025-03-21T00:00:00"/>
    <x v="1"/>
    <x v="1"/>
    <x v="2"/>
    <x v="0"/>
    <x v="3"/>
    <x v="2"/>
    <x v="11"/>
    <x v="1"/>
  </r>
  <r>
    <x v="2081"/>
    <x v="10"/>
    <x v="13"/>
    <n v="31.5"/>
    <n v="189"/>
    <x v="76"/>
    <d v="2025-03-20T00:00:00"/>
    <x v="2"/>
    <x v="0"/>
    <x v="2"/>
    <x v="0"/>
    <x v="3"/>
    <x v="1"/>
    <x v="11"/>
    <x v="2"/>
  </r>
  <r>
    <x v="2082"/>
    <x v="6"/>
    <x v="0"/>
    <n v="45.8"/>
    <n v="45.8"/>
    <x v="76"/>
    <d v="2025-03-22T00:00:00"/>
    <x v="3"/>
    <x v="0"/>
    <x v="0"/>
    <x v="0"/>
    <x v="3"/>
    <x v="5"/>
    <x v="11"/>
    <x v="3"/>
  </r>
  <r>
    <x v="2083"/>
    <x v="19"/>
    <x v="12"/>
    <n v="12.8"/>
    <n v="51.2"/>
    <x v="76"/>
    <d v="2025-03-25T00:00:00"/>
    <x v="2"/>
    <x v="1"/>
    <x v="1"/>
    <x v="0"/>
    <x v="5"/>
    <x v="6"/>
    <x v="11"/>
    <x v="2"/>
  </r>
  <r>
    <x v="2084"/>
    <x v="5"/>
    <x v="2"/>
    <n v="115.3"/>
    <n v="345.9"/>
    <x v="76"/>
    <d v="2025-03-19T00:00:00"/>
    <x v="2"/>
    <x v="2"/>
    <x v="2"/>
    <x v="0"/>
    <x v="6"/>
    <x v="3"/>
    <x v="11"/>
    <x v="2"/>
  </r>
  <r>
    <x v="2085"/>
    <x v="5"/>
    <x v="1"/>
    <n v="85"/>
    <n v="170"/>
    <x v="76"/>
    <d v="2025-03-20T00:00:00"/>
    <x v="2"/>
    <x v="1"/>
    <x v="0"/>
    <x v="0"/>
    <x v="7"/>
    <x v="1"/>
    <x v="11"/>
    <x v="2"/>
  </r>
  <r>
    <x v="2086"/>
    <x v="8"/>
    <x v="2"/>
    <n v="56.6"/>
    <n v="169.8"/>
    <x v="76"/>
    <d v="2025-03-19T00:00:00"/>
    <x v="2"/>
    <x v="1"/>
    <x v="2"/>
    <x v="0"/>
    <x v="7"/>
    <x v="3"/>
    <x v="11"/>
    <x v="2"/>
  </r>
  <r>
    <x v="2087"/>
    <x v="15"/>
    <x v="6"/>
    <n v="46.3"/>
    <n v="1250.0999999999999"/>
    <x v="76"/>
    <d v="2025-03-21T00:00:00"/>
    <x v="1"/>
    <x v="0"/>
    <x v="0"/>
    <x v="0"/>
    <x v="7"/>
    <x v="2"/>
    <x v="11"/>
    <x v="1"/>
  </r>
  <r>
    <x v="2088"/>
    <x v="14"/>
    <x v="12"/>
    <n v="23"/>
    <n v="92"/>
    <x v="76"/>
    <d v="2025-03-22T00:00:00"/>
    <x v="1"/>
    <x v="3"/>
    <x v="2"/>
    <x v="0"/>
    <x v="7"/>
    <x v="5"/>
    <x v="11"/>
    <x v="1"/>
  </r>
  <r>
    <x v="2089"/>
    <x v="8"/>
    <x v="13"/>
    <n v="42.1"/>
    <n v="252.60000000000002"/>
    <x v="76"/>
    <d v="2025-03-20T00:00:00"/>
    <x v="1"/>
    <x v="4"/>
    <x v="0"/>
    <x v="0"/>
    <x v="8"/>
    <x v="1"/>
    <x v="11"/>
    <x v="1"/>
  </r>
  <r>
    <x v="2090"/>
    <x v="5"/>
    <x v="3"/>
    <n v="57.4"/>
    <n v="401.8"/>
    <x v="76"/>
    <d v="2025-03-22T00:00:00"/>
    <x v="2"/>
    <x v="1"/>
    <x v="4"/>
    <x v="0"/>
    <x v="8"/>
    <x v="5"/>
    <x v="11"/>
    <x v="2"/>
  </r>
  <r>
    <x v="2091"/>
    <x v="0"/>
    <x v="13"/>
    <n v="13.2"/>
    <n v="79.199999999999989"/>
    <x v="76"/>
    <d v="2025-03-22T00:00:00"/>
    <x v="1"/>
    <x v="2"/>
    <x v="0"/>
    <x v="0"/>
    <x v="8"/>
    <x v="5"/>
    <x v="11"/>
    <x v="1"/>
  </r>
  <r>
    <x v="2092"/>
    <x v="6"/>
    <x v="2"/>
    <n v="52.3"/>
    <n v="156.89999999999998"/>
    <x v="76"/>
    <d v="2025-03-19T00:00:00"/>
    <x v="1"/>
    <x v="1"/>
    <x v="0"/>
    <x v="0"/>
    <x v="8"/>
    <x v="3"/>
    <x v="11"/>
    <x v="1"/>
  </r>
  <r>
    <x v="2093"/>
    <x v="8"/>
    <x v="1"/>
    <n v="15.7"/>
    <n v="31.4"/>
    <x v="76"/>
    <d v="2025-03-21T00:00:00"/>
    <x v="1"/>
    <x v="1"/>
    <x v="2"/>
    <x v="0"/>
    <x v="8"/>
    <x v="2"/>
    <x v="11"/>
    <x v="1"/>
  </r>
  <r>
    <x v="2094"/>
    <x v="7"/>
    <x v="2"/>
    <n v="35"/>
    <n v="105"/>
    <x v="76"/>
    <d v="2025-03-21T00:00:00"/>
    <x v="2"/>
    <x v="1"/>
    <x v="2"/>
    <x v="0"/>
    <x v="9"/>
    <x v="2"/>
    <x v="11"/>
    <x v="2"/>
  </r>
  <r>
    <x v="2095"/>
    <x v="4"/>
    <x v="2"/>
    <n v="26.6"/>
    <n v="79.800000000000011"/>
    <x v="76"/>
    <d v="2025-03-18T00:00:00"/>
    <x v="1"/>
    <x v="1"/>
    <x v="2"/>
    <x v="0"/>
    <x v="11"/>
    <x v="7"/>
    <x v="11"/>
    <x v="1"/>
  </r>
  <r>
    <x v="2096"/>
    <x v="4"/>
    <x v="8"/>
    <n v="47.9"/>
    <n v="383.2"/>
    <x v="77"/>
    <d v="2025-03-20T00:00:00"/>
    <x v="2"/>
    <x v="3"/>
    <x v="2"/>
    <x v="0"/>
    <x v="20"/>
    <x v="3"/>
    <x v="11"/>
    <x v="2"/>
  </r>
  <r>
    <x v="2097"/>
    <x v="5"/>
    <x v="0"/>
    <n v="80.099999999999994"/>
    <n v="80.099999999999994"/>
    <x v="77"/>
    <d v="2025-03-20T00:00:00"/>
    <x v="1"/>
    <x v="2"/>
    <x v="0"/>
    <x v="0"/>
    <x v="21"/>
    <x v="3"/>
    <x v="11"/>
    <x v="1"/>
  </r>
  <r>
    <x v="2098"/>
    <x v="6"/>
    <x v="9"/>
    <n v="50.4"/>
    <n v="252"/>
    <x v="77"/>
    <d v="2025-03-20T00:00:00"/>
    <x v="1"/>
    <x v="1"/>
    <x v="2"/>
    <x v="0"/>
    <x v="21"/>
    <x v="3"/>
    <x v="11"/>
    <x v="1"/>
  </r>
  <r>
    <x v="2099"/>
    <x v="10"/>
    <x v="3"/>
    <n v="43.3"/>
    <n v="303.09999999999997"/>
    <x v="77"/>
    <d v="2025-03-20T00:00:00"/>
    <x v="1"/>
    <x v="2"/>
    <x v="0"/>
    <x v="0"/>
    <x v="21"/>
    <x v="3"/>
    <x v="11"/>
    <x v="1"/>
  </r>
  <r>
    <x v="2100"/>
    <x v="10"/>
    <x v="12"/>
    <n v="57.5"/>
    <n v="230"/>
    <x v="77"/>
    <d v="2025-03-20T00:00:00"/>
    <x v="2"/>
    <x v="1"/>
    <x v="2"/>
    <x v="0"/>
    <x v="1"/>
    <x v="3"/>
    <x v="11"/>
    <x v="2"/>
  </r>
  <r>
    <x v="2101"/>
    <x v="9"/>
    <x v="15"/>
    <n v="24.8"/>
    <n v="322.40000000000003"/>
    <x v="77"/>
    <d v="2025-03-20T00:00:00"/>
    <x v="1"/>
    <x v="0"/>
    <x v="0"/>
    <x v="0"/>
    <x v="57"/>
    <x v="3"/>
    <x v="11"/>
    <x v="1"/>
  </r>
  <r>
    <x v="2102"/>
    <x v="2"/>
    <x v="11"/>
    <n v="85.7"/>
    <n v="771.30000000000007"/>
    <x v="77"/>
    <d v="2025-03-20T00:00:00"/>
    <x v="2"/>
    <x v="0"/>
    <x v="0"/>
    <x v="0"/>
    <x v="42"/>
    <x v="3"/>
    <x v="11"/>
    <x v="2"/>
  </r>
  <r>
    <x v="2103"/>
    <x v="7"/>
    <x v="0"/>
    <n v="47.1"/>
    <n v="47.1"/>
    <x v="77"/>
    <d v="2025-03-21T00:00:00"/>
    <x v="2"/>
    <x v="0"/>
    <x v="0"/>
    <x v="0"/>
    <x v="2"/>
    <x v="1"/>
    <x v="11"/>
    <x v="2"/>
  </r>
  <r>
    <x v="2104"/>
    <x v="5"/>
    <x v="7"/>
    <n v="83.2"/>
    <n v="832"/>
    <x v="77"/>
    <d v="2025-03-23T00:00:00"/>
    <x v="2"/>
    <x v="0"/>
    <x v="0"/>
    <x v="0"/>
    <x v="33"/>
    <x v="5"/>
    <x v="11"/>
    <x v="2"/>
  </r>
  <r>
    <x v="2105"/>
    <x v="2"/>
    <x v="2"/>
    <n v="157"/>
    <n v="471"/>
    <x v="77"/>
    <d v="2025-03-21T00:00:00"/>
    <x v="2"/>
    <x v="0"/>
    <x v="2"/>
    <x v="0"/>
    <x v="22"/>
    <x v="1"/>
    <x v="11"/>
    <x v="2"/>
  </r>
  <r>
    <x v="2106"/>
    <x v="16"/>
    <x v="12"/>
    <n v="33.700000000000003"/>
    <n v="134.80000000000001"/>
    <x v="77"/>
    <d v="2025-03-20T00:00:00"/>
    <x v="1"/>
    <x v="2"/>
    <x v="2"/>
    <x v="0"/>
    <x v="22"/>
    <x v="3"/>
    <x v="11"/>
    <x v="1"/>
  </r>
  <r>
    <x v="2107"/>
    <x v="2"/>
    <x v="2"/>
    <n v="60.8"/>
    <n v="182.39999999999998"/>
    <x v="77"/>
    <d v="2025-03-23T00:00:00"/>
    <x v="2"/>
    <x v="1"/>
    <x v="1"/>
    <x v="0"/>
    <x v="3"/>
    <x v="5"/>
    <x v="11"/>
    <x v="2"/>
  </r>
  <r>
    <x v="2108"/>
    <x v="7"/>
    <x v="0"/>
    <n v="57.6"/>
    <n v="57.6"/>
    <x v="77"/>
    <d v="2025-03-20T00:00:00"/>
    <x v="1"/>
    <x v="1"/>
    <x v="4"/>
    <x v="0"/>
    <x v="3"/>
    <x v="3"/>
    <x v="11"/>
    <x v="1"/>
  </r>
  <r>
    <x v="2109"/>
    <x v="10"/>
    <x v="0"/>
    <n v="32"/>
    <n v="32"/>
    <x v="77"/>
    <d v="2025-03-21T00:00:00"/>
    <x v="1"/>
    <x v="0"/>
    <x v="0"/>
    <x v="0"/>
    <x v="3"/>
    <x v="1"/>
    <x v="11"/>
    <x v="1"/>
  </r>
  <r>
    <x v="2110"/>
    <x v="10"/>
    <x v="12"/>
    <n v="23.5"/>
    <n v="94"/>
    <x v="77"/>
    <d v="2025-03-20T00:00:00"/>
    <x v="2"/>
    <x v="0"/>
    <x v="2"/>
    <x v="0"/>
    <x v="3"/>
    <x v="3"/>
    <x v="11"/>
    <x v="2"/>
  </r>
  <r>
    <x v="2111"/>
    <x v="12"/>
    <x v="2"/>
    <n v="44.8"/>
    <n v="134.39999999999998"/>
    <x v="77"/>
    <d v="2025-03-20T00:00:00"/>
    <x v="3"/>
    <x v="4"/>
    <x v="0"/>
    <x v="0"/>
    <x v="3"/>
    <x v="3"/>
    <x v="11"/>
    <x v="3"/>
  </r>
  <r>
    <x v="2112"/>
    <x v="0"/>
    <x v="8"/>
    <n v="11.7"/>
    <n v="93.6"/>
    <x v="77"/>
    <d v="2025-03-20T00:00:00"/>
    <x v="1"/>
    <x v="2"/>
    <x v="2"/>
    <x v="0"/>
    <x v="3"/>
    <x v="3"/>
    <x v="11"/>
    <x v="1"/>
  </r>
  <r>
    <x v="2113"/>
    <x v="7"/>
    <x v="1"/>
    <n v="38.799999999999997"/>
    <n v="77.599999999999994"/>
    <x v="77"/>
    <d v="2025-03-22T00:00:00"/>
    <x v="2"/>
    <x v="2"/>
    <x v="0"/>
    <x v="0"/>
    <x v="3"/>
    <x v="2"/>
    <x v="11"/>
    <x v="2"/>
  </r>
  <r>
    <x v="2114"/>
    <x v="5"/>
    <x v="21"/>
    <n v="86.9"/>
    <n v="1216.6000000000001"/>
    <x v="77"/>
    <d v="2025-03-24T00:00:00"/>
    <x v="2"/>
    <x v="1"/>
    <x v="0"/>
    <x v="0"/>
    <x v="3"/>
    <x v="0"/>
    <x v="11"/>
    <x v="2"/>
  </r>
  <r>
    <x v="2115"/>
    <x v="8"/>
    <x v="0"/>
    <n v="18.3"/>
    <n v="18.3"/>
    <x v="77"/>
    <d v="2025-03-20T00:00:00"/>
    <x v="2"/>
    <x v="0"/>
    <x v="0"/>
    <x v="0"/>
    <x v="3"/>
    <x v="3"/>
    <x v="11"/>
    <x v="2"/>
  </r>
  <r>
    <x v="2116"/>
    <x v="5"/>
    <x v="0"/>
    <n v="47.5"/>
    <n v="47.5"/>
    <x v="77"/>
    <d v="2025-03-23T00:00:00"/>
    <x v="1"/>
    <x v="4"/>
    <x v="2"/>
    <x v="0"/>
    <x v="3"/>
    <x v="5"/>
    <x v="11"/>
    <x v="1"/>
  </r>
  <r>
    <x v="2117"/>
    <x v="1"/>
    <x v="1"/>
    <n v="78.599999999999994"/>
    <n v="157.19999999999999"/>
    <x v="77"/>
    <d v="2025-03-20T00:00:00"/>
    <x v="1"/>
    <x v="2"/>
    <x v="2"/>
    <x v="0"/>
    <x v="3"/>
    <x v="3"/>
    <x v="11"/>
    <x v="1"/>
  </r>
  <r>
    <x v="2118"/>
    <x v="6"/>
    <x v="12"/>
    <n v="87.3"/>
    <n v="349.2"/>
    <x v="77"/>
    <d v="2025-03-20T00:00:00"/>
    <x v="1"/>
    <x v="0"/>
    <x v="0"/>
    <x v="0"/>
    <x v="3"/>
    <x v="3"/>
    <x v="11"/>
    <x v="1"/>
  </r>
  <r>
    <x v="2119"/>
    <x v="9"/>
    <x v="1"/>
    <n v="63.2"/>
    <n v="126.4"/>
    <x v="77"/>
    <d v="2025-03-19T00:00:00"/>
    <x v="1"/>
    <x v="4"/>
    <x v="1"/>
    <x v="0"/>
    <x v="3"/>
    <x v="7"/>
    <x v="11"/>
    <x v="1"/>
  </r>
  <r>
    <x v="2120"/>
    <x v="5"/>
    <x v="9"/>
    <n v="33.700000000000003"/>
    <n v="168.5"/>
    <x v="77"/>
    <d v="2025-03-20T00:00:00"/>
    <x v="2"/>
    <x v="0"/>
    <x v="0"/>
    <x v="0"/>
    <x v="3"/>
    <x v="3"/>
    <x v="11"/>
    <x v="2"/>
  </r>
  <r>
    <x v="2121"/>
    <x v="2"/>
    <x v="2"/>
    <n v="107.4"/>
    <n v="322.20000000000005"/>
    <x v="77"/>
    <d v="2025-04-01T00:00:00"/>
    <x v="2"/>
    <x v="1"/>
    <x v="2"/>
    <x v="0"/>
    <x v="3"/>
    <x v="10"/>
    <x v="11"/>
    <x v="2"/>
  </r>
  <r>
    <x v="2122"/>
    <x v="4"/>
    <x v="12"/>
    <n v="22.2"/>
    <n v="88.8"/>
    <x v="77"/>
    <d v="2025-03-20T00:00:00"/>
    <x v="0"/>
    <x v="1"/>
    <x v="2"/>
    <x v="0"/>
    <x v="24"/>
    <x v="3"/>
    <x v="11"/>
    <x v="0"/>
  </r>
  <r>
    <x v="2123"/>
    <x v="18"/>
    <x v="2"/>
    <n v="52.8"/>
    <n v="158.39999999999998"/>
    <x v="77"/>
    <d v="2025-03-20T00:00:00"/>
    <x v="1"/>
    <x v="3"/>
    <x v="2"/>
    <x v="0"/>
    <x v="24"/>
    <x v="3"/>
    <x v="11"/>
    <x v="1"/>
  </r>
  <r>
    <x v="2124"/>
    <x v="8"/>
    <x v="2"/>
    <n v="41.5"/>
    <n v="124.5"/>
    <x v="77"/>
    <d v="2025-03-22T00:00:00"/>
    <x v="2"/>
    <x v="0"/>
    <x v="0"/>
    <x v="0"/>
    <x v="25"/>
    <x v="2"/>
    <x v="11"/>
    <x v="2"/>
  </r>
  <r>
    <x v="2125"/>
    <x v="12"/>
    <x v="8"/>
    <n v="103.5"/>
    <n v="828"/>
    <x v="77"/>
    <d v="2025-03-22T00:00:00"/>
    <x v="2"/>
    <x v="0"/>
    <x v="2"/>
    <x v="0"/>
    <x v="23"/>
    <x v="2"/>
    <x v="11"/>
    <x v="2"/>
  </r>
  <r>
    <x v="2126"/>
    <x v="4"/>
    <x v="21"/>
    <n v="37.5"/>
    <n v="525"/>
    <x v="77"/>
    <d v="2025-03-19T00:00:00"/>
    <x v="2"/>
    <x v="1"/>
    <x v="2"/>
    <x v="0"/>
    <x v="6"/>
    <x v="7"/>
    <x v="11"/>
    <x v="2"/>
  </r>
  <r>
    <x v="2127"/>
    <x v="15"/>
    <x v="8"/>
    <n v="44.4"/>
    <n v="355.2"/>
    <x v="77"/>
    <d v="2025-03-25T00:00:00"/>
    <x v="2"/>
    <x v="3"/>
    <x v="2"/>
    <x v="0"/>
    <x v="7"/>
    <x v="4"/>
    <x v="11"/>
    <x v="2"/>
  </r>
  <r>
    <x v="2128"/>
    <x v="8"/>
    <x v="2"/>
    <n v="26.2"/>
    <n v="78.599999999999994"/>
    <x v="77"/>
    <d v="2025-03-20T00:00:00"/>
    <x v="1"/>
    <x v="0"/>
    <x v="0"/>
    <x v="0"/>
    <x v="8"/>
    <x v="3"/>
    <x v="11"/>
    <x v="1"/>
  </r>
  <r>
    <x v="2129"/>
    <x v="1"/>
    <x v="3"/>
    <n v="32.200000000000003"/>
    <n v="225.40000000000003"/>
    <x v="77"/>
    <d v="2025-03-20T00:00:00"/>
    <x v="2"/>
    <x v="1"/>
    <x v="2"/>
    <x v="0"/>
    <x v="8"/>
    <x v="3"/>
    <x v="11"/>
    <x v="2"/>
  </r>
  <r>
    <x v="2130"/>
    <x v="8"/>
    <x v="0"/>
    <n v="17.399999999999999"/>
    <n v="17.399999999999999"/>
    <x v="77"/>
    <d v="2025-03-23T00:00:00"/>
    <x v="0"/>
    <x v="2"/>
    <x v="1"/>
    <x v="0"/>
    <x v="8"/>
    <x v="5"/>
    <x v="11"/>
    <x v="0"/>
  </r>
  <r>
    <x v="2131"/>
    <x v="8"/>
    <x v="13"/>
    <n v="72.3"/>
    <n v="433.79999999999995"/>
    <x v="77"/>
    <d v="2025-03-22T00:00:00"/>
    <x v="2"/>
    <x v="0"/>
    <x v="0"/>
    <x v="0"/>
    <x v="8"/>
    <x v="2"/>
    <x v="11"/>
    <x v="2"/>
  </r>
  <r>
    <x v="2132"/>
    <x v="8"/>
    <x v="5"/>
    <n v="24.3"/>
    <n v="267.3"/>
    <x v="77"/>
    <d v="2025-03-20T00:00:00"/>
    <x v="1"/>
    <x v="0"/>
    <x v="0"/>
    <x v="0"/>
    <x v="8"/>
    <x v="3"/>
    <x v="11"/>
    <x v="1"/>
  </r>
  <r>
    <x v="2133"/>
    <x v="13"/>
    <x v="2"/>
    <n v="49.1"/>
    <n v="147.30000000000001"/>
    <x v="77"/>
    <d v="2025-03-25T00:00:00"/>
    <x v="1"/>
    <x v="2"/>
    <x v="4"/>
    <x v="0"/>
    <x v="8"/>
    <x v="4"/>
    <x v="11"/>
    <x v="1"/>
  </r>
  <r>
    <x v="2134"/>
    <x v="2"/>
    <x v="7"/>
    <n v="234.7"/>
    <n v="2347"/>
    <x v="77"/>
    <d v="2025-03-20T00:00:00"/>
    <x v="1"/>
    <x v="3"/>
    <x v="1"/>
    <x v="0"/>
    <x v="8"/>
    <x v="3"/>
    <x v="11"/>
    <x v="1"/>
  </r>
  <r>
    <x v="2135"/>
    <x v="3"/>
    <x v="9"/>
    <n v="76.099999999999994"/>
    <n v="380.5"/>
    <x v="77"/>
    <d v="2025-03-21T00:00:00"/>
    <x v="1"/>
    <x v="1"/>
    <x v="1"/>
    <x v="0"/>
    <x v="17"/>
    <x v="1"/>
    <x v="11"/>
    <x v="1"/>
  </r>
  <r>
    <x v="2136"/>
    <x v="1"/>
    <x v="2"/>
    <n v="93.9"/>
    <n v="281.70000000000005"/>
    <x v="77"/>
    <d v="2025-03-20T00:00:00"/>
    <x v="1"/>
    <x v="1"/>
    <x v="4"/>
    <x v="0"/>
    <x v="11"/>
    <x v="3"/>
    <x v="11"/>
    <x v="1"/>
  </r>
  <r>
    <x v="2137"/>
    <x v="2"/>
    <x v="12"/>
    <n v="187"/>
    <n v="748"/>
    <x v="78"/>
    <d v="2025-03-23T00:00:00"/>
    <x v="1"/>
    <x v="0"/>
    <x v="0"/>
    <x v="0"/>
    <x v="11"/>
    <x v="2"/>
    <x v="11"/>
    <x v="1"/>
  </r>
  <r>
    <x v="2138"/>
    <x v="8"/>
    <x v="1"/>
    <n v="18"/>
    <n v="36"/>
    <x v="78"/>
    <d v="2025-03-21T00:00:00"/>
    <x v="2"/>
    <x v="1"/>
    <x v="2"/>
    <x v="0"/>
    <x v="53"/>
    <x v="3"/>
    <x v="11"/>
    <x v="2"/>
  </r>
  <r>
    <x v="2139"/>
    <x v="4"/>
    <x v="0"/>
    <n v="24.4"/>
    <n v="24.4"/>
    <x v="78"/>
    <d v="2025-03-21T00:00:00"/>
    <x v="2"/>
    <x v="4"/>
    <x v="2"/>
    <x v="0"/>
    <x v="21"/>
    <x v="3"/>
    <x v="11"/>
    <x v="2"/>
  </r>
  <r>
    <x v="2140"/>
    <x v="10"/>
    <x v="1"/>
    <n v="38.799999999999997"/>
    <n v="77.599999999999994"/>
    <x v="78"/>
    <d v="2025-03-21T00:00:00"/>
    <x v="1"/>
    <x v="4"/>
    <x v="1"/>
    <x v="0"/>
    <x v="3"/>
    <x v="3"/>
    <x v="11"/>
    <x v="1"/>
  </r>
  <r>
    <x v="2141"/>
    <x v="3"/>
    <x v="0"/>
    <n v="59.7"/>
    <n v="59.7"/>
    <x v="78"/>
    <d v="2025-03-23T00:00:00"/>
    <x v="1"/>
    <x v="3"/>
    <x v="0"/>
    <x v="0"/>
    <x v="3"/>
    <x v="2"/>
    <x v="11"/>
    <x v="1"/>
  </r>
  <r>
    <x v="2142"/>
    <x v="7"/>
    <x v="0"/>
    <n v="31.2"/>
    <n v="31.2"/>
    <x v="78"/>
    <d v="2025-03-21T00:00:00"/>
    <x v="1"/>
    <x v="1"/>
    <x v="2"/>
    <x v="0"/>
    <x v="3"/>
    <x v="3"/>
    <x v="11"/>
    <x v="1"/>
  </r>
  <r>
    <x v="2143"/>
    <x v="0"/>
    <x v="0"/>
    <n v="16.8"/>
    <n v="16.8"/>
    <x v="78"/>
    <d v="2025-03-21T00:00:00"/>
    <x v="2"/>
    <x v="2"/>
    <x v="1"/>
    <x v="0"/>
    <x v="3"/>
    <x v="3"/>
    <x v="11"/>
    <x v="2"/>
  </r>
  <r>
    <x v="2144"/>
    <x v="8"/>
    <x v="0"/>
    <n v="46"/>
    <n v="46"/>
    <x v="78"/>
    <d v="2025-03-21T00:00:00"/>
    <x v="1"/>
    <x v="0"/>
    <x v="0"/>
    <x v="0"/>
    <x v="3"/>
    <x v="3"/>
    <x v="11"/>
    <x v="1"/>
  </r>
  <r>
    <x v="2145"/>
    <x v="9"/>
    <x v="8"/>
    <n v="42.2"/>
    <n v="337.6"/>
    <x v="78"/>
    <d v="2025-03-23T00:00:00"/>
    <x v="2"/>
    <x v="3"/>
    <x v="2"/>
    <x v="0"/>
    <x v="3"/>
    <x v="2"/>
    <x v="11"/>
    <x v="2"/>
  </r>
  <r>
    <x v="2146"/>
    <x v="1"/>
    <x v="2"/>
    <n v="71.5"/>
    <n v="214.5"/>
    <x v="78"/>
    <d v="2025-04-03T00:00:00"/>
    <x v="2"/>
    <x v="0"/>
    <x v="0"/>
    <x v="0"/>
    <x v="3"/>
    <x v="12"/>
    <x v="11"/>
    <x v="2"/>
  </r>
  <r>
    <x v="2147"/>
    <x v="1"/>
    <x v="1"/>
    <n v="76.599999999999994"/>
    <n v="153.19999999999999"/>
    <x v="78"/>
    <d v="2025-03-20T00:00:00"/>
    <x v="1"/>
    <x v="0"/>
    <x v="2"/>
    <x v="0"/>
    <x v="3"/>
    <x v="7"/>
    <x v="11"/>
    <x v="1"/>
  </r>
  <r>
    <x v="2148"/>
    <x v="12"/>
    <x v="1"/>
    <n v="87.3"/>
    <n v="174.6"/>
    <x v="78"/>
    <d v="2025-03-28T00:00:00"/>
    <x v="2"/>
    <x v="3"/>
    <x v="2"/>
    <x v="0"/>
    <x v="3"/>
    <x v="9"/>
    <x v="11"/>
    <x v="2"/>
  </r>
  <r>
    <x v="2149"/>
    <x v="1"/>
    <x v="0"/>
    <n v="63"/>
    <n v="63"/>
    <x v="78"/>
    <d v="2025-03-23T00:00:00"/>
    <x v="1"/>
    <x v="3"/>
    <x v="0"/>
    <x v="0"/>
    <x v="3"/>
    <x v="2"/>
    <x v="11"/>
    <x v="1"/>
  </r>
  <r>
    <x v="2150"/>
    <x v="8"/>
    <x v="1"/>
    <n v="41.7"/>
    <n v="83.4"/>
    <x v="78"/>
    <d v="2025-03-21T00:00:00"/>
    <x v="2"/>
    <x v="4"/>
    <x v="1"/>
    <x v="0"/>
    <x v="43"/>
    <x v="3"/>
    <x v="11"/>
    <x v="2"/>
  </r>
  <r>
    <x v="2151"/>
    <x v="6"/>
    <x v="1"/>
    <n v="76.099999999999994"/>
    <n v="152.19999999999999"/>
    <x v="78"/>
    <d v="2025-03-20T00:00:00"/>
    <x v="2"/>
    <x v="4"/>
    <x v="2"/>
    <x v="0"/>
    <x v="16"/>
    <x v="7"/>
    <x v="11"/>
    <x v="2"/>
  </r>
  <r>
    <x v="2152"/>
    <x v="13"/>
    <x v="1"/>
    <n v="28.5"/>
    <n v="57"/>
    <x v="78"/>
    <d v="2025-03-21T00:00:00"/>
    <x v="2"/>
    <x v="0"/>
    <x v="2"/>
    <x v="0"/>
    <x v="4"/>
    <x v="3"/>
    <x v="11"/>
    <x v="2"/>
  </r>
  <r>
    <x v="2153"/>
    <x v="0"/>
    <x v="12"/>
    <n v="32.1"/>
    <n v="128.4"/>
    <x v="78"/>
    <d v="2025-03-21T00:00:00"/>
    <x v="2"/>
    <x v="1"/>
    <x v="2"/>
    <x v="0"/>
    <x v="25"/>
    <x v="3"/>
    <x v="11"/>
    <x v="2"/>
  </r>
  <r>
    <x v="2154"/>
    <x v="4"/>
    <x v="2"/>
    <n v="39"/>
    <n v="117"/>
    <x v="78"/>
    <d v="2025-03-23T00:00:00"/>
    <x v="1"/>
    <x v="1"/>
    <x v="2"/>
    <x v="0"/>
    <x v="25"/>
    <x v="2"/>
    <x v="11"/>
    <x v="1"/>
  </r>
  <r>
    <x v="2155"/>
    <x v="6"/>
    <x v="0"/>
    <n v="78.5"/>
    <n v="78.5"/>
    <x v="78"/>
    <d v="2025-03-21T00:00:00"/>
    <x v="1"/>
    <x v="1"/>
    <x v="0"/>
    <x v="0"/>
    <x v="6"/>
    <x v="3"/>
    <x v="11"/>
    <x v="1"/>
  </r>
  <r>
    <x v="2156"/>
    <x v="4"/>
    <x v="9"/>
    <n v="49.7"/>
    <n v="248.5"/>
    <x v="78"/>
    <d v="2025-03-22T00:00:00"/>
    <x v="2"/>
    <x v="0"/>
    <x v="0"/>
    <x v="0"/>
    <x v="6"/>
    <x v="1"/>
    <x v="11"/>
    <x v="2"/>
  </r>
  <r>
    <x v="2157"/>
    <x v="1"/>
    <x v="12"/>
    <n v="68.400000000000006"/>
    <n v="273.60000000000002"/>
    <x v="78"/>
    <d v="2025-03-21T00:00:00"/>
    <x v="2"/>
    <x v="2"/>
    <x v="2"/>
    <x v="0"/>
    <x v="7"/>
    <x v="3"/>
    <x v="11"/>
    <x v="2"/>
  </r>
  <r>
    <x v="2158"/>
    <x v="3"/>
    <x v="1"/>
    <n v="72.900000000000006"/>
    <n v="145.80000000000001"/>
    <x v="78"/>
    <d v="2025-03-23T00:00:00"/>
    <x v="0"/>
    <x v="0"/>
    <x v="2"/>
    <x v="0"/>
    <x v="7"/>
    <x v="2"/>
    <x v="11"/>
    <x v="0"/>
  </r>
  <r>
    <x v="2159"/>
    <x v="5"/>
    <x v="15"/>
    <n v="30.3"/>
    <n v="393.90000000000003"/>
    <x v="78"/>
    <d v="2025-03-21T00:00:00"/>
    <x v="1"/>
    <x v="4"/>
    <x v="0"/>
    <x v="0"/>
    <x v="7"/>
    <x v="3"/>
    <x v="11"/>
    <x v="1"/>
  </r>
  <r>
    <x v="2160"/>
    <x v="6"/>
    <x v="5"/>
    <n v="57.9"/>
    <n v="636.9"/>
    <x v="78"/>
    <d v="2025-03-21T00:00:00"/>
    <x v="2"/>
    <x v="0"/>
    <x v="0"/>
    <x v="0"/>
    <x v="8"/>
    <x v="3"/>
    <x v="11"/>
    <x v="2"/>
  </r>
  <r>
    <x v="2161"/>
    <x v="1"/>
    <x v="0"/>
    <n v="96.7"/>
    <n v="96.7"/>
    <x v="78"/>
    <d v="2025-03-21T00:00:00"/>
    <x v="1"/>
    <x v="0"/>
    <x v="0"/>
    <x v="0"/>
    <x v="8"/>
    <x v="3"/>
    <x v="11"/>
    <x v="1"/>
  </r>
  <r>
    <x v="2162"/>
    <x v="8"/>
    <x v="4"/>
    <n v="27.6"/>
    <n v="331.20000000000005"/>
    <x v="78"/>
    <d v="2025-03-22T00:00:00"/>
    <x v="1"/>
    <x v="2"/>
    <x v="2"/>
    <x v="0"/>
    <x v="8"/>
    <x v="1"/>
    <x v="11"/>
    <x v="1"/>
  </r>
  <r>
    <x v="2163"/>
    <x v="6"/>
    <x v="12"/>
    <n v="64.7"/>
    <n v="258.8"/>
    <x v="78"/>
    <d v="2025-03-20T00:00:00"/>
    <x v="1"/>
    <x v="3"/>
    <x v="2"/>
    <x v="0"/>
    <x v="8"/>
    <x v="7"/>
    <x v="11"/>
    <x v="1"/>
  </r>
  <r>
    <x v="2164"/>
    <x v="10"/>
    <x v="13"/>
    <n v="30.5"/>
    <n v="183"/>
    <x v="78"/>
    <d v="2025-03-21T00:00:00"/>
    <x v="1"/>
    <x v="4"/>
    <x v="0"/>
    <x v="0"/>
    <x v="8"/>
    <x v="3"/>
    <x v="11"/>
    <x v="1"/>
  </r>
  <r>
    <x v="2165"/>
    <x v="6"/>
    <x v="47"/>
    <n v="106"/>
    <n v="7420"/>
    <x v="79"/>
    <d v="2025-03-23T00:00:00"/>
    <x v="1"/>
    <x v="4"/>
    <x v="2"/>
    <x v="0"/>
    <x v="8"/>
    <x v="1"/>
    <x v="11"/>
    <x v="1"/>
  </r>
  <r>
    <x v="2166"/>
    <x v="12"/>
    <x v="9"/>
    <n v="76.8"/>
    <n v="384"/>
    <x v="79"/>
    <d v="2025-03-27T00:00:00"/>
    <x v="0"/>
    <x v="1"/>
    <x v="1"/>
    <x v="0"/>
    <x v="18"/>
    <x v="4"/>
    <x v="11"/>
    <x v="0"/>
  </r>
  <r>
    <x v="2167"/>
    <x v="6"/>
    <x v="1"/>
    <n v="80.400000000000006"/>
    <n v="160.80000000000001"/>
    <x v="79"/>
    <d v="2025-03-22T00:00:00"/>
    <x v="2"/>
    <x v="2"/>
    <x v="0"/>
    <x v="0"/>
    <x v="13"/>
    <x v="3"/>
    <x v="11"/>
    <x v="2"/>
  </r>
  <r>
    <x v="2168"/>
    <x v="6"/>
    <x v="12"/>
    <n v="69.099999999999994"/>
    <n v="276.39999999999998"/>
    <x v="79"/>
    <d v="2025-03-22T00:00:00"/>
    <x v="1"/>
    <x v="1"/>
    <x v="2"/>
    <x v="0"/>
    <x v="21"/>
    <x v="3"/>
    <x v="11"/>
    <x v="1"/>
  </r>
  <r>
    <x v="2169"/>
    <x v="18"/>
    <x v="1"/>
    <n v="76.400000000000006"/>
    <n v="152.80000000000001"/>
    <x v="79"/>
    <d v="2025-03-21T00:00:00"/>
    <x v="1"/>
    <x v="3"/>
    <x v="0"/>
    <x v="0"/>
    <x v="21"/>
    <x v="7"/>
    <x v="11"/>
    <x v="1"/>
  </r>
  <r>
    <x v="2170"/>
    <x v="2"/>
    <x v="1"/>
    <n v="61.3"/>
    <n v="122.6"/>
    <x v="79"/>
    <d v="2025-03-22T00:00:00"/>
    <x v="2"/>
    <x v="1"/>
    <x v="1"/>
    <x v="0"/>
    <x v="21"/>
    <x v="3"/>
    <x v="11"/>
    <x v="2"/>
  </r>
  <r>
    <x v="2171"/>
    <x v="7"/>
    <x v="0"/>
    <n v="58"/>
    <n v="58"/>
    <x v="79"/>
    <d v="2025-03-22T00:00:00"/>
    <x v="1"/>
    <x v="3"/>
    <x v="1"/>
    <x v="0"/>
    <x v="1"/>
    <x v="3"/>
    <x v="11"/>
    <x v="1"/>
  </r>
  <r>
    <x v="2172"/>
    <x v="2"/>
    <x v="8"/>
    <n v="102.3"/>
    <n v="818.4"/>
    <x v="79"/>
    <d v="2025-03-23T00:00:00"/>
    <x v="1"/>
    <x v="2"/>
    <x v="0"/>
    <x v="0"/>
    <x v="42"/>
    <x v="1"/>
    <x v="11"/>
    <x v="1"/>
  </r>
  <r>
    <x v="2173"/>
    <x v="19"/>
    <x v="1"/>
    <n v="13.8"/>
    <n v="27.6"/>
    <x v="79"/>
    <d v="2025-03-22T00:00:00"/>
    <x v="2"/>
    <x v="4"/>
    <x v="2"/>
    <x v="0"/>
    <x v="2"/>
    <x v="3"/>
    <x v="11"/>
    <x v="2"/>
  </r>
  <r>
    <x v="2174"/>
    <x v="8"/>
    <x v="2"/>
    <n v="33.299999999999997"/>
    <n v="99.899999999999991"/>
    <x v="79"/>
    <d v="2025-03-24T00:00:00"/>
    <x v="2"/>
    <x v="2"/>
    <x v="0"/>
    <x v="0"/>
    <x v="22"/>
    <x v="2"/>
    <x v="11"/>
    <x v="2"/>
  </r>
  <r>
    <x v="2175"/>
    <x v="10"/>
    <x v="0"/>
    <n v="27.4"/>
    <n v="27.4"/>
    <x v="79"/>
    <d v="2025-03-24T00:00:00"/>
    <x v="1"/>
    <x v="0"/>
    <x v="2"/>
    <x v="0"/>
    <x v="22"/>
    <x v="2"/>
    <x v="11"/>
    <x v="1"/>
  </r>
  <r>
    <x v="2176"/>
    <x v="14"/>
    <x v="1"/>
    <n v="25.6"/>
    <n v="51.2"/>
    <x v="79"/>
    <d v="2025-03-22T00:00:00"/>
    <x v="2"/>
    <x v="1"/>
    <x v="1"/>
    <x v="0"/>
    <x v="3"/>
    <x v="3"/>
    <x v="11"/>
    <x v="2"/>
  </r>
  <r>
    <x v="2177"/>
    <x v="13"/>
    <x v="0"/>
    <n v="58.4"/>
    <n v="58.4"/>
    <x v="79"/>
    <d v="2025-03-22T00:00:00"/>
    <x v="2"/>
    <x v="2"/>
    <x v="2"/>
    <x v="0"/>
    <x v="3"/>
    <x v="3"/>
    <x v="11"/>
    <x v="2"/>
  </r>
  <r>
    <x v="2178"/>
    <x v="11"/>
    <x v="17"/>
    <n v="27"/>
    <n v="810"/>
    <x v="79"/>
    <d v="2025-03-22T00:00:00"/>
    <x v="2"/>
    <x v="4"/>
    <x v="0"/>
    <x v="0"/>
    <x v="3"/>
    <x v="3"/>
    <x v="11"/>
    <x v="2"/>
  </r>
  <r>
    <x v="2179"/>
    <x v="0"/>
    <x v="12"/>
    <n v="14.2"/>
    <n v="56.8"/>
    <x v="79"/>
    <d v="2025-03-22T00:00:00"/>
    <x v="1"/>
    <x v="0"/>
    <x v="2"/>
    <x v="0"/>
    <x v="3"/>
    <x v="3"/>
    <x v="11"/>
    <x v="1"/>
  </r>
  <r>
    <x v="2180"/>
    <x v="7"/>
    <x v="1"/>
    <n v="68"/>
    <n v="136"/>
    <x v="79"/>
    <d v="2025-03-31T00:00:00"/>
    <x v="1"/>
    <x v="2"/>
    <x v="1"/>
    <x v="0"/>
    <x v="3"/>
    <x v="14"/>
    <x v="11"/>
    <x v="1"/>
  </r>
  <r>
    <x v="2181"/>
    <x v="8"/>
    <x v="0"/>
    <n v="30.7"/>
    <n v="30.7"/>
    <x v="79"/>
    <d v="2025-03-22T00:00:00"/>
    <x v="1"/>
    <x v="0"/>
    <x v="0"/>
    <x v="0"/>
    <x v="3"/>
    <x v="3"/>
    <x v="11"/>
    <x v="1"/>
  </r>
  <r>
    <x v="2182"/>
    <x v="17"/>
    <x v="15"/>
    <n v="51.6"/>
    <n v="670.80000000000007"/>
    <x v="79"/>
    <d v="2025-03-24T00:00:00"/>
    <x v="3"/>
    <x v="1"/>
    <x v="2"/>
    <x v="0"/>
    <x v="3"/>
    <x v="2"/>
    <x v="11"/>
    <x v="3"/>
  </r>
  <r>
    <x v="2183"/>
    <x v="8"/>
    <x v="2"/>
    <n v="20.6"/>
    <n v="61.800000000000004"/>
    <x v="79"/>
    <d v="2025-03-25T00:00:00"/>
    <x v="2"/>
    <x v="4"/>
    <x v="2"/>
    <x v="0"/>
    <x v="3"/>
    <x v="5"/>
    <x v="11"/>
    <x v="2"/>
  </r>
  <r>
    <x v="2184"/>
    <x v="8"/>
    <x v="0"/>
    <n v="24.8"/>
    <n v="24.8"/>
    <x v="79"/>
    <d v="2025-03-22T00:00:00"/>
    <x v="1"/>
    <x v="4"/>
    <x v="0"/>
    <x v="0"/>
    <x v="3"/>
    <x v="3"/>
    <x v="11"/>
    <x v="1"/>
  </r>
  <r>
    <x v="2185"/>
    <x v="0"/>
    <x v="3"/>
    <n v="11.2"/>
    <n v="78.399999999999991"/>
    <x v="79"/>
    <d v="2025-03-24T00:00:00"/>
    <x v="1"/>
    <x v="1"/>
    <x v="0"/>
    <x v="0"/>
    <x v="3"/>
    <x v="2"/>
    <x v="11"/>
    <x v="1"/>
  </r>
  <r>
    <x v="2186"/>
    <x v="11"/>
    <x v="1"/>
    <n v="51.2"/>
    <n v="102.4"/>
    <x v="79"/>
    <d v="2025-03-22T00:00:00"/>
    <x v="2"/>
    <x v="1"/>
    <x v="2"/>
    <x v="0"/>
    <x v="3"/>
    <x v="3"/>
    <x v="11"/>
    <x v="2"/>
  </r>
  <r>
    <x v="2187"/>
    <x v="7"/>
    <x v="13"/>
    <n v="90.5"/>
    <n v="543"/>
    <x v="79"/>
    <d v="2025-03-22T00:00:00"/>
    <x v="2"/>
    <x v="1"/>
    <x v="4"/>
    <x v="0"/>
    <x v="3"/>
    <x v="3"/>
    <x v="11"/>
    <x v="2"/>
  </r>
  <r>
    <x v="2188"/>
    <x v="1"/>
    <x v="1"/>
    <n v="42.4"/>
    <n v="84.8"/>
    <x v="79"/>
    <d v="2025-03-22T00:00:00"/>
    <x v="1"/>
    <x v="1"/>
    <x v="2"/>
    <x v="0"/>
    <x v="4"/>
    <x v="3"/>
    <x v="11"/>
    <x v="1"/>
  </r>
  <r>
    <x v="2189"/>
    <x v="1"/>
    <x v="1"/>
    <n v="38.200000000000003"/>
    <n v="76.400000000000006"/>
    <x v="79"/>
    <d v="2025-03-22T00:00:00"/>
    <x v="1"/>
    <x v="0"/>
    <x v="0"/>
    <x v="0"/>
    <x v="5"/>
    <x v="3"/>
    <x v="11"/>
    <x v="1"/>
  </r>
  <r>
    <x v="2190"/>
    <x v="2"/>
    <x v="11"/>
    <n v="121.3"/>
    <n v="1091.7"/>
    <x v="79"/>
    <d v="2025-03-26T00:00:00"/>
    <x v="1"/>
    <x v="0"/>
    <x v="0"/>
    <x v="0"/>
    <x v="6"/>
    <x v="0"/>
    <x v="11"/>
    <x v="1"/>
  </r>
  <r>
    <x v="2191"/>
    <x v="6"/>
    <x v="1"/>
    <n v="46.9"/>
    <n v="93.8"/>
    <x v="79"/>
    <d v="2025-03-28T00:00:00"/>
    <x v="1"/>
    <x v="0"/>
    <x v="0"/>
    <x v="0"/>
    <x v="8"/>
    <x v="6"/>
    <x v="11"/>
    <x v="1"/>
  </r>
  <r>
    <x v="2192"/>
    <x v="10"/>
    <x v="0"/>
    <n v="55.3"/>
    <n v="55.3"/>
    <x v="79"/>
    <d v="2025-03-23T00:00:00"/>
    <x v="1"/>
    <x v="0"/>
    <x v="0"/>
    <x v="0"/>
    <x v="8"/>
    <x v="1"/>
    <x v="11"/>
    <x v="1"/>
  </r>
  <r>
    <x v="2193"/>
    <x v="2"/>
    <x v="2"/>
    <n v="70.599999999999994"/>
    <n v="211.79999999999998"/>
    <x v="80"/>
    <d v="2025-03-22T00:00:00"/>
    <x v="2"/>
    <x v="0"/>
    <x v="1"/>
    <x v="0"/>
    <x v="8"/>
    <x v="7"/>
    <x v="11"/>
    <x v="2"/>
  </r>
  <r>
    <x v="2194"/>
    <x v="14"/>
    <x v="12"/>
    <n v="26.1"/>
    <n v="104.4"/>
    <x v="80"/>
    <d v="2025-03-24T00:00:00"/>
    <x v="1"/>
    <x v="0"/>
    <x v="0"/>
    <x v="0"/>
    <x v="8"/>
    <x v="1"/>
    <x v="11"/>
    <x v="1"/>
  </r>
  <r>
    <x v="2195"/>
    <x v="9"/>
    <x v="5"/>
    <n v="34.5"/>
    <n v="379.5"/>
    <x v="80"/>
    <d v="2025-03-26T00:00:00"/>
    <x v="1"/>
    <x v="2"/>
    <x v="0"/>
    <x v="0"/>
    <x v="17"/>
    <x v="5"/>
    <x v="11"/>
    <x v="1"/>
  </r>
  <r>
    <x v="2196"/>
    <x v="1"/>
    <x v="1"/>
    <n v="64.2"/>
    <n v="128.4"/>
    <x v="80"/>
    <d v="2025-03-23T00:00:00"/>
    <x v="2"/>
    <x v="0"/>
    <x v="1"/>
    <x v="0"/>
    <x v="17"/>
    <x v="3"/>
    <x v="11"/>
    <x v="2"/>
  </r>
  <r>
    <x v="2197"/>
    <x v="2"/>
    <x v="12"/>
    <n v="145.69999999999999"/>
    <n v="582.79999999999995"/>
    <x v="80"/>
    <d v="2025-03-23T00:00:00"/>
    <x v="2"/>
    <x v="0"/>
    <x v="4"/>
    <x v="0"/>
    <x v="17"/>
    <x v="3"/>
    <x v="11"/>
    <x v="2"/>
  </r>
  <r>
    <x v="2198"/>
    <x v="12"/>
    <x v="1"/>
    <n v="78.5"/>
    <n v="157"/>
    <x v="80"/>
    <d v="2025-03-23T00:00:00"/>
    <x v="1"/>
    <x v="2"/>
    <x v="0"/>
    <x v="0"/>
    <x v="26"/>
    <x v="3"/>
    <x v="11"/>
    <x v="1"/>
  </r>
  <r>
    <x v="2199"/>
    <x v="1"/>
    <x v="0"/>
    <n v="34.200000000000003"/>
    <n v="34.200000000000003"/>
    <x v="80"/>
    <d v="2025-03-24T00:00:00"/>
    <x v="1"/>
    <x v="0"/>
    <x v="0"/>
    <x v="0"/>
    <x v="9"/>
    <x v="1"/>
    <x v="11"/>
    <x v="1"/>
  </r>
  <r>
    <x v="2200"/>
    <x v="19"/>
    <x v="0"/>
    <n v="26.2"/>
    <n v="26.2"/>
    <x v="80"/>
    <d v="2025-03-23T00:00:00"/>
    <x v="1"/>
    <x v="2"/>
    <x v="0"/>
    <x v="0"/>
    <x v="9"/>
    <x v="3"/>
    <x v="11"/>
    <x v="1"/>
  </r>
  <r>
    <x v="2201"/>
    <x v="6"/>
    <x v="12"/>
    <n v="53.2"/>
    <n v="212.8"/>
    <x v="80"/>
    <d v="2025-03-23T00:00:00"/>
    <x v="1"/>
    <x v="1"/>
    <x v="1"/>
    <x v="0"/>
    <x v="11"/>
    <x v="3"/>
    <x v="11"/>
    <x v="1"/>
  </r>
  <r>
    <x v="2202"/>
    <x v="1"/>
    <x v="0"/>
    <n v="35.4"/>
    <n v="35.4"/>
    <x v="80"/>
    <d v="2025-03-26T00:00:00"/>
    <x v="1"/>
    <x v="1"/>
    <x v="4"/>
    <x v="0"/>
    <x v="18"/>
    <x v="5"/>
    <x v="11"/>
    <x v="1"/>
  </r>
  <r>
    <x v="2203"/>
    <x v="14"/>
    <x v="1"/>
    <n v="21.3"/>
    <n v="42.6"/>
    <x v="80"/>
    <d v="2025-03-23T00:00:00"/>
    <x v="1"/>
    <x v="2"/>
    <x v="0"/>
    <x v="0"/>
    <x v="20"/>
    <x v="3"/>
    <x v="11"/>
    <x v="1"/>
  </r>
  <r>
    <x v="2204"/>
    <x v="8"/>
    <x v="12"/>
    <n v="32.9"/>
    <n v="131.6"/>
    <x v="80"/>
    <d v="2025-03-25T00:00:00"/>
    <x v="2"/>
    <x v="4"/>
    <x v="2"/>
    <x v="0"/>
    <x v="21"/>
    <x v="2"/>
    <x v="11"/>
    <x v="2"/>
  </r>
  <r>
    <x v="2205"/>
    <x v="5"/>
    <x v="20"/>
    <n v="85.5"/>
    <n v="1282.5"/>
    <x v="80"/>
    <d v="2025-03-24T00:00:00"/>
    <x v="2"/>
    <x v="3"/>
    <x v="1"/>
    <x v="0"/>
    <x v="21"/>
    <x v="1"/>
    <x v="11"/>
    <x v="2"/>
  </r>
  <r>
    <x v="2206"/>
    <x v="4"/>
    <x v="0"/>
    <n v="26.8"/>
    <n v="26.8"/>
    <x v="80"/>
    <d v="2025-03-23T00:00:00"/>
    <x v="2"/>
    <x v="0"/>
    <x v="1"/>
    <x v="0"/>
    <x v="2"/>
    <x v="3"/>
    <x v="11"/>
    <x v="2"/>
  </r>
  <r>
    <x v="2207"/>
    <x v="9"/>
    <x v="18"/>
    <n v="31.7"/>
    <n v="824.19999999999993"/>
    <x v="80"/>
    <d v="2025-03-22T00:00:00"/>
    <x v="2"/>
    <x v="3"/>
    <x v="0"/>
    <x v="0"/>
    <x v="2"/>
    <x v="7"/>
    <x v="11"/>
    <x v="2"/>
  </r>
  <r>
    <x v="2208"/>
    <x v="1"/>
    <x v="1"/>
    <n v="78.3"/>
    <n v="156.6"/>
    <x v="80"/>
    <d v="2025-03-24T00:00:00"/>
    <x v="2"/>
    <x v="1"/>
    <x v="1"/>
    <x v="0"/>
    <x v="3"/>
    <x v="1"/>
    <x v="11"/>
    <x v="2"/>
  </r>
  <r>
    <x v="2209"/>
    <x v="6"/>
    <x v="0"/>
    <n v="43.9"/>
    <n v="43.9"/>
    <x v="80"/>
    <d v="2025-03-23T00:00:00"/>
    <x v="1"/>
    <x v="0"/>
    <x v="0"/>
    <x v="0"/>
    <x v="3"/>
    <x v="3"/>
    <x v="11"/>
    <x v="1"/>
  </r>
  <r>
    <x v="2210"/>
    <x v="18"/>
    <x v="2"/>
    <n v="84"/>
    <n v="252"/>
    <x v="80"/>
    <d v="2025-03-24T00:00:00"/>
    <x v="0"/>
    <x v="3"/>
    <x v="2"/>
    <x v="0"/>
    <x v="3"/>
    <x v="1"/>
    <x v="11"/>
    <x v="0"/>
  </r>
  <r>
    <x v="2211"/>
    <x v="0"/>
    <x v="2"/>
    <n v="11.4"/>
    <n v="34.200000000000003"/>
    <x v="80"/>
    <d v="2025-03-23T00:00:00"/>
    <x v="1"/>
    <x v="4"/>
    <x v="0"/>
    <x v="0"/>
    <x v="3"/>
    <x v="3"/>
    <x v="11"/>
    <x v="1"/>
  </r>
  <r>
    <x v="2212"/>
    <x v="12"/>
    <x v="8"/>
    <n v="47.5"/>
    <n v="380"/>
    <x v="80"/>
    <d v="2025-03-30T00:00:00"/>
    <x v="2"/>
    <x v="0"/>
    <x v="0"/>
    <x v="0"/>
    <x v="3"/>
    <x v="9"/>
    <x v="11"/>
    <x v="2"/>
  </r>
  <r>
    <x v="2213"/>
    <x v="9"/>
    <x v="5"/>
    <n v="50.5"/>
    <n v="555.5"/>
    <x v="80"/>
    <d v="2025-03-24T00:00:00"/>
    <x v="1"/>
    <x v="2"/>
    <x v="0"/>
    <x v="0"/>
    <x v="3"/>
    <x v="1"/>
    <x v="11"/>
    <x v="1"/>
  </r>
  <r>
    <x v="2214"/>
    <x v="15"/>
    <x v="0"/>
    <n v="36.299999999999997"/>
    <n v="36.299999999999997"/>
    <x v="80"/>
    <d v="2025-03-25T00:00:00"/>
    <x v="3"/>
    <x v="0"/>
    <x v="1"/>
    <x v="0"/>
    <x v="8"/>
    <x v="2"/>
    <x v="11"/>
    <x v="3"/>
  </r>
  <r>
    <x v="2215"/>
    <x v="8"/>
    <x v="1"/>
    <n v="35.4"/>
    <n v="70.8"/>
    <x v="80"/>
    <d v="2025-03-23T00:00:00"/>
    <x v="2"/>
    <x v="0"/>
    <x v="0"/>
    <x v="0"/>
    <x v="17"/>
    <x v="3"/>
    <x v="11"/>
    <x v="2"/>
  </r>
  <r>
    <x v="2216"/>
    <x v="1"/>
    <x v="2"/>
    <n v="45.9"/>
    <n v="137.69999999999999"/>
    <x v="81"/>
    <d v="2025-03-24T00:00:00"/>
    <x v="1"/>
    <x v="3"/>
    <x v="0"/>
    <x v="0"/>
    <x v="9"/>
    <x v="3"/>
    <x v="12"/>
    <x v="1"/>
  </r>
  <r>
    <x v="2217"/>
    <x v="6"/>
    <x v="7"/>
    <n v="41.2"/>
    <n v="412"/>
    <x v="81"/>
    <d v="2025-03-27T00:00:00"/>
    <x v="1"/>
    <x v="0"/>
    <x v="0"/>
    <x v="0"/>
    <x v="11"/>
    <x v="5"/>
    <x v="12"/>
    <x v="1"/>
  </r>
  <r>
    <x v="2218"/>
    <x v="17"/>
    <x v="1"/>
    <n v="45.1"/>
    <n v="90.2"/>
    <x v="81"/>
    <d v="2025-03-24T00:00:00"/>
    <x v="1"/>
    <x v="1"/>
    <x v="1"/>
    <x v="0"/>
    <x v="21"/>
    <x v="3"/>
    <x v="12"/>
    <x v="1"/>
  </r>
  <r>
    <x v="2219"/>
    <x v="6"/>
    <x v="7"/>
    <n v="63.6"/>
    <n v="636"/>
    <x v="81"/>
    <d v="2025-03-23T00:00:00"/>
    <x v="1"/>
    <x v="2"/>
    <x v="0"/>
    <x v="0"/>
    <x v="1"/>
    <x v="7"/>
    <x v="12"/>
    <x v="1"/>
  </r>
  <r>
    <x v="2220"/>
    <x v="8"/>
    <x v="0"/>
    <n v="70.5"/>
    <n v="70.5"/>
    <x v="81"/>
    <d v="2025-03-24T00:00:00"/>
    <x v="1"/>
    <x v="0"/>
    <x v="0"/>
    <x v="0"/>
    <x v="3"/>
    <x v="3"/>
    <x v="12"/>
    <x v="1"/>
  </r>
  <r>
    <x v="2221"/>
    <x v="6"/>
    <x v="0"/>
    <n v="41.3"/>
    <n v="41.3"/>
    <x v="81"/>
    <d v="2025-03-23T00:00:00"/>
    <x v="1"/>
    <x v="4"/>
    <x v="0"/>
    <x v="0"/>
    <x v="3"/>
    <x v="7"/>
    <x v="12"/>
    <x v="1"/>
  </r>
  <r>
    <x v="2222"/>
    <x v="4"/>
    <x v="0"/>
    <n v="35.299999999999997"/>
    <n v="35.299999999999997"/>
    <x v="81"/>
    <d v="2025-03-26T00:00:00"/>
    <x v="2"/>
    <x v="4"/>
    <x v="2"/>
    <x v="0"/>
    <x v="3"/>
    <x v="2"/>
    <x v="12"/>
    <x v="2"/>
  </r>
  <r>
    <x v="2223"/>
    <x v="8"/>
    <x v="9"/>
    <n v="34.700000000000003"/>
    <n v="173.5"/>
    <x v="81"/>
    <d v="2025-03-24T00:00:00"/>
    <x v="2"/>
    <x v="0"/>
    <x v="2"/>
    <x v="0"/>
    <x v="3"/>
    <x v="3"/>
    <x v="12"/>
    <x v="2"/>
  </r>
  <r>
    <x v="2224"/>
    <x v="8"/>
    <x v="2"/>
    <n v="26.1"/>
    <n v="78.300000000000011"/>
    <x v="81"/>
    <d v="2025-03-24T00:00:00"/>
    <x v="2"/>
    <x v="0"/>
    <x v="0"/>
    <x v="0"/>
    <x v="3"/>
    <x v="3"/>
    <x v="12"/>
    <x v="2"/>
  </r>
  <r>
    <x v="2225"/>
    <x v="9"/>
    <x v="9"/>
    <n v="22.6"/>
    <n v="113"/>
    <x v="81"/>
    <d v="2025-03-23T00:00:00"/>
    <x v="2"/>
    <x v="1"/>
    <x v="2"/>
    <x v="0"/>
    <x v="3"/>
    <x v="7"/>
    <x v="12"/>
    <x v="2"/>
  </r>
  <r>
    <x v="2226"/>
    <x v="2"/>
    <x v="1"/>
    <n v="154.4"/>
    <n v="308.8"/>
    <x v="81"/>
    <d v="2025-03-26T00:00:00"/>
    <x v="1"/>
    <x v="1"/>
    <x v="1"/>
    <x v="0"/>
    <x v="3"/>
    <x v="2"/>
    <x v="12"/>
    <x v="1"/>
  </r>
  <r>
    <x v="2227"/>
    <x v="8"/>
    <x v="1"/>
    <n v="18.399999999999999"/>
    <n v="36.799999999999997"/>
    <x v="81"/>
    <d v="2025-03-24T00:00:00"/>
    <x v="1"/>
    <x v="0"/>
    <x v="0"/>
    <x v="0"/>
    <x v="3"/>
    <x v="3"/>
    <x v="12"/>
    <x v="1"/>
  </r>
  <r>
    <x v="2228"/>
    <x v="14"/>
    <x v="0"/>
    <n v="25"/>
    <n v="25"/>
    <x v="81"/>
    <d v="2025-03-26T00:00:00"/>
    <x v="2"/>
    <x v="0"/>
    <x v="0"/>
    <x v="0"/>
    <x v="3"/>
    <x v="2"/>
    <x v="12"/>
    <x v="2"/>
  </r>
  <r>
    <x v="2229"/>
    <x v="2"/>
    <x v="13"/>
    <n v="105.6"/>
    <n v="633.59999999999991"/>
    <x v="81"/>
    <d v="2025-03-23T00:00:00"/>
    <x v="2"/>
    <x v="0"/>
    <x v="0"/>
    <x v="0"/>
    <x v="3"/>
    <x v="7"/>
    <x v="12"/>
    <x v="2"/>
  </r>
  <r>
    <x v="2230"/>
    <x v="18"/>
    <x v="8"/>
    <n v="59.6"/>
    <n v="476.8"/>
    <x v="81"/>
    <d v="2025-03-23T00:00:00"/>
    <x v="2"/>
    <x v="0"/>
    <x v="2"/>
    <x v="0"/>
    <x v="23"/>
    <x v="7"/>
    <x v="12"/>
    <x v="2"/>
  </r>
  <r>
    <x v="2231"/>
    <x v="15"/>
    <x v="2"/>
    <n v="75.400000000000006"/>
    <n v="226.20000000000002"/>
    <x v="81"/>
    <d v="2025-03-28T00:00:00"/>
    <x v="1"/>
    <x v="0"/>
    <x v="1"/>
    <x v="0"/>
    <x v="7"/>
    <x v="0"/>
    <x v="12"/>
    <x v="1"/>
  </r>
  <r>
    <x v="2232"/>
    <x v="7"/>
    <x v="0"/>
    <n v="104.4"/>
    <n v="104.4"/>
    <x v="81"/>
    <d v="2025-03-24T00:00:00"/>
    <x v="2"/>
    <x v="0"/>
    <x v="0"/>
    <x v="0"/>
    <x v="8"/>
    <x v="3"/>
    <x v="12"/>
    <x v="2"/>
  </r>
  <r>
    <x v="2233"/>
    <x v="2"/>
    <x v="7"/>
    <n v="208.2"/>
    <n v="2082"/>
    <x v="81"/>
    <d v="2025-03-24T00:00:00"/>
    <x v="1"/>
    <x v="0"/>
    <x v="2"/>
    <x v="0"/>
    <x v="8"/>
    <x v="3"/>
    <x v="12"/>
    <x v="1"/>
  </r>
  <r>
    <x v="2234"/>
    <x v="6"/>
    <x v="1"/>
    <n v="45"/>
    <n v="90"/>
    <x v="81"/>
    <d v="2025-03-26T00:00:00"/>
    <x v="2"/>
    <x v="0"/>
    <x v="0"/>
    <x v="0"/>
    <x v="10"/>
    <x v="2"/>
    <x v="12"/>
    <x v="2"/>
  </r>
  <r>
    <x v="2235"/>
    <x v="15"/>
    <x v="1"/>
    <n v="20.3"/>
    <n v="40.6"/>
    <x v="82"/>
    <d v="2025-03-26T00:00:00"/>
    <x v="0"/>
    <x v="1"/>
    <x v="0"/>
    <x v="0"/>
    <x v="11"/>
    <x v="1"/>
    <x v="12"/>
    <x v="0"/>
  </r>
  <r>
    <x v="2236"/>
    <x v="2"/>
    <x v="2"/>
    <n v="94.4"/>
    <n v="283.20000000000005"/>
    <x v="82"/>
    <d v="2025-03-25T00:00:00"/>
    <x v="2"/>
    <x v="0"/>
    <x v="2"/>
    <x v="0"/>
    <x v="11"/>
    <x v="3"/>
    <x v="12"/>
    <x v="2"/>
  </r>
  <r>
    <x v="2237"/>
    <x v="9"/>
    <x v="0"/>
    <n v="49"/>
    <n v="49"/>
    <x v="82"/>
    <d v="2025-03-26T00:00:00"/>
    <x v="2"/>
    <x v="0"/>
    <x v="2"/>
    <x v="0"/>
    <x v="20"/>
    <x v="1"/>
    <x v="12"/>
    <x v="2"/>
  </r>
  <r>
    <x v="2238"/>
    <x v="4"/>
    <x v="1"/>
    <n v="27.2"/>
    <n v="54.4"/>
    <x v="82"/>
    <d v="2025-03-26T00:00:00"/>
    <x v="1"/>
    <x v="0"/>
    <x v="2"/>
    <x v="0"/>
    <x v="1"/>
    <x v="1"/>
    <x v="12"/>
    <x v="1"/>
  </r>
  <r>
    <x v="2239"/>
    <x v="2"/>
    <x v="13"/>
    <n v="72.599999999999994"/>
    <n v="435.59999999999997"/>
    <x v="82"/>
    <d v="2025-03-25T00:00:00"/>
    <x v="2"/>
    <x v="0"/>
    <x v="2"/>
    <x v="0"/>
    <x v="2"/>
    <x v="3"/>
    <x v="12"/>
    <x v="2"/>
  </r>
  <r>
    <x v="2240"/>
    <x v="15"/>
    <x v="12"/>
    <n v="62.4"/>
    <n v="249.6"/>
    <x v="82"/>
    <d v="2025-03-25T00:00:00"/>
    <x v="2"/>
    <x v="0"/>
    <x v="0"/>
    <x v="0"/>
    <x v="3"/>
    <x v="3"/>
    <x v="12"/>
    <x v="2"/>
  </r>
  <r>
    <x v="2241"/>
    <x v="8"/>
    <x v="2"/>
    <n v="19.100000000000001"/>
    <n v="57.300000000000004"/>
    <x v="82"/>
    <d v="2025-03-26T00:00:00"/>
    <x v="1"/>
    <x v="0"/>
    <x v="1"/>
    <x v="0"/>
    <x v="3"/>
    <x v="1"/>
    <x v="12"/>
    <x v="1"/>
  </r>
  <r>
    <x v="2242"/>
    <x v="10"/>
    <x v="0"/>
    <n v="29.6"/>
    <n v="29.6"/>
    <x v="82"/>
    <d v="2025-03-28T00:00:00"/>
    <x v="1"/>
    <x v="0"/>
    <x v="4"/>
    <x v="0"/>
    <x v="3"/>
    <x v="5"/>
    <x v="12"/>
    <x v="1"/>
  </r>
  <r>
    <x v="2243"/>
    <x v="8"/>
    <x v="1"/>
    <n v="18.899999999999999"/>
    <n v="37.799999999999997"/>
    <x v="82"/>
    <d v="2025-03-26T00:00:00"/>
    <x v="2"/>
    <x v="4"/>
    <x v="2"/>
    <x v="0"/>
    <x v="3"/>
    <x v="1"/>
    <x v="12"/>
    <x v="2"/>
  </r>
  <r>
    <x v="2244"/>
    <x v="10"/>
    <x v="9"/>
    <n v="41.4"/>
    <n v="207"/>
    <x v="82"/>
    <d v="2025-03-25T00:00:00"/>
    <x v="1"/>
    <x v="3"/>
    <x v="0"/>
    <x v="0"/>
    <x v="3"/>
    <x v="3"/>
    <x v="12"/>
    <x v="1"/>
  </r>
  <r>
    <x v="2245"/>
    <x v="2"/>
    <x v="0"/>
    <n v="118.4"/>
    <n v="118.4"/>
    <x v="82"/>
    <d v="2025-03-25T00:00:00"/>
    <x v="2"/>
    <x v="0"/>
    <x v="2"/>
    <x v="0"/>
    <x v="3"/>
    <x v="3"/>
    <x v="12"/>
    <x v="2"/>
  </r>
  <r>
    <x v="2246"/>
    <x v="2"/>
    <x v="1"/>
    <n v="125.3"/>
    <n v="250.6"/>
    <x v="82"/>
    <d v="2025-03-27T00:00:00"/>
    <x v="2"/>
    <x v="0"/>
    <x v="2"/>
    <x v="0"/>
    <x v="3"/>
    <x v="2"/>
    <x v="12"/>
    <x v="2"/>
  </r>
  <r>
    <x v="2247"/>
    <x v="3"/>
    <x v="1"/>
    <n v="85.8"/>
    <n v="171.6"/>
    <x v="82"/>
    <d v="2025-03-25T00:00:00"/>
    <x v="2"/>
    <x v="1"/>
    <x v="4"/>
    <x v="0"/>
    <x v="3"/>
    <x v="3"/>
    <x v="12"/>
    <x v="2"/>
  </r>
  <r>
    <x v="2248"/>
    <x v="6"/>
    <x v="0"/>
    <n v="44.2"/>
    <n v="44.2"/>
    <x v="82"/>
    <d v="2025-03-27T00:00:00"/>
    <x v="1"/>
    <x v="1"/>
    <x v="0"/>
    <x v="0"/>
    <x v="3"/>
    <x v="2"/>
    <x v="12"/>
    <x v="1"/>
  </r>
  <r>
    <x v="2249"/>
    <x v="5"/>
    <x v="12"/>
    <n v="74.099999999999994"/>
    <n v="296.39999999999998"/>
    <x v="82"/>
    <d v="2025-03-26T00:00:00"/>
    <x v="2"/>
    <x v="0"/>
    <x v="0"/>
    <x v="0"/>
    <x v="3"/>
    <x v="1"/>
    <x v="12"/>
    <x v="2"/>
  </r>
  <r>
    <x v="2250"/>
    <x v="8"/>
    <x v="0"/>
    <n v="33.799999999999997"/>
    <n v="33.799999999999997"/>
    <x v="82"/>
    <d v="2025-03-25T00:00:00"/>
    <x v="2"/>
    <x v="2"/>
    <x v="2"/>
    <x v="0"/>
    <x v="24"/>
    <x v="3"/>
    <x v="12"/>
    <x v="2"/>
  </r>
  <r>
    <x v="2251"/>
    <x v="1"/>
    <x v="1"/>
    <n v="39.1"/>
    <n v="78.2"/>
    <x v="82"/>
    <d v="2025-03-25T00:00:00"/>
    <x v="1"/>
    <x v="0"/>
    <x v="1"/>
    <x v="0"/>
    <x v="24"/>
    <x v="3"/>
    <x v="12"/>
    <x v="1"/>
  </r>
  <r>
    <x v="2252"/>
    <x v="0"/>
    <x v="0"/>
    <n v="37.200000000000003"/>
    <n v="37.200000000000003"/>
    <x v="82"/>
    <d v="2025-03-25T00:00:00"/>
    <x v="1"/>
    <x v="0"/>
    <x v="1"/>
    <x v="0"/>
    <x v="16"/>
    <x v="3"/>
    <x v="12"/>
    <x v="1"/>
  </r>
  <r>
    <x v="2253"/>
    <x v="15"/>
    <x v="2"/>
    <n v="33.9"/>
    <n v="101.69999999999999"/>
    <x v="82"/>
    <d v="2025-03-26T00:00:00"/>
    <x v="1"/>
    <x v="2"/>
    <x v="0"/>
    <x v="0"/>
    <x v="6"/>
    <x v="1"/>
    <x v="12"/>
    <x v="1"/>
  </r>
  <r>
    <x v="2254"/>
    <x v="7"/>
    <x v="20"/>
    <n v="73.3"/>
    <n v="1099.5"/>
    <x v="82"/>
    <d v="2025-03-27T00:00:00"/>
    <x v="2"/>
    <x v="2"/>
    <x v="1"/>
    <x v="0"/>
    <x v="8"/>
    <x v="2"/>
    <x v="12"/>
    <x v="2"/>
  </r>
  <r>
    <x v="2255"/>
    <x v="8"/>
    <x v="12"/>
    <n v="35"/>
    <n v="140"/>
    <x v="82"/>
    <d v="2025-03-26T00:00:00"/>
    <x v="2"/>
    <x v="1"/>
    <x v="0"/>
    <x v="0"/>
    <x v="8"/>
    <x v="1"/>
    <x v="12"/>
    <x v="2"/>
  </r>
  <r>
    <x v="2256"/>
    <x v="0"/>
    <x v="2"/>
    <n v="22.2"/>
    <n v="66.599999999999994"/>
    <x v="82"/>
    <d v="2025-03-25T00:00:00"/>
    <x v="1"/>
    <x v="1"/>
    <x v="0"/>
    <x v="0"/>
    <x v="17"/>
    <x v="3"/>
    <x v="12"/>
    <x v="1"/>
  </r>
  <r>
    <x v="2257"/>
    <x v="10"/>
    <x v="0"/>
    <n v="32.4"/>
    <n v="32.4"/>
    <x v="82"/>
    <d v="2025-03-25T00:00:00"/>
    <x v="2"/>
    <x v="0"/>
    <x v="0"/>
    <x v="0"/>
    <x v="11"/>
    <x v="3"/>
    <x v="12"/>
    <x v="2"/>
  </r>
  <r>
    <x v="2258"/>
    <x v="5"/>
    <x v="2"/>
    <n v="88.4"/>
    <n v="265.20000000000005"/>
    <x v="83"/>
    <d v="2025-03-27T00:00:00"/>
    <x v="2"/>
    <x v="1"/>
    <x v="1"/>
    <x v="0"/>
    <x v="11"/>
    <x v="1"/>
    <x v="12"/>
    <x v="2"/>
  </r>
  <r>
    <x v="2259"/>
    <x v="5"/>
    <x v="27"/>
    <n v="30.5"/>
    <n v="488"/>
    <x v="83"/>
    <d v="2025-03-26T00:00:00"/>
    <x v="2"/>
    <x v="2"/>
    <x v="0"/>
    <x v="0"/>
    <x v="11"/>
    <x v="3"/>
    <x v="12"/>
    <x v="2"/>
  </r>
  <r>
    <x v="2260"/>
    <x v="1"/>
    <x v="13"/>
    <n v="38.1"/>
    <n v="228.60000000000002"/>
    <x v="83"/>
    <d v="2025-03-27T00:00:00"/>
    <x v="2"/>
    <x v="0"/>
    <x v="1"/>
    <x v="0"/>
    <x v="11"/>
    <x v="1"/>
    <x v="12"/>
    <x v="2"/>
  </r>
  <r>
    <x v="2261"/>
    <x v="10"/>
    <x v="9"/>
    <n v="37.6"/>
    <n v="188"/>
    <x v="83"/>
    <d v="2025-03-29T00:00:00"/>
    <x v="1"/>
    <x v="0"/>
    <x v="0"/>
    <x v="0"/>
    <x v="11"/>
    <x v="5"/>
    <x v="12"/>
    <x v="1"/>
  </r>
  <r>
    <x v="2262"/>
    <x v="15"/>
    <x v="1"/>
    <n v="31.4"/>
    <n v="62.8"/>
    <x v="83"/>
    <d v="2025-03-26T00:00:00"/>
    <x v="1"/>
    <x v="0"/>
    <x v="2"/>
    <x v="0"/>
    <x v="11"/>
    <x v="3"/>
    <x v="12"/>
    <x v="1"/>
  </r>
  <r>
    <x v="2263"/>
    <x v="6"/>
    <x v="1"/>
    <n v="61.5"/>
    <n v="123"/>
    <x v="83"/>
    <d v="2025-03-26T00:00:00"/>
    <x v="1"/>
    <x v="3"/>
    <x v="0"/>
    <x v="0"/>
    <x v="31"/>
    <x v="3"/>
    <x v="12"/>
    <x v="1"/>
  </r>
  <r>
    <x v="2264"/>
    <x v="6"/>
    <x v="0"/>
    <n v="72.599999999999994"/>
    <n v="72.599999999999994"/>
    <x v="83"/>
    <d v="2025-03-26T00:00:00"/>
    <x v="1"/>
    <x v="0"/>
    <x v="1"/>
    <x v="0"/>
    <x v="21"/>
    <x v="3"/>
    <x v="12"/>
    <x v="1"/>
  </r>
  <r>
    <x v="2265"/>
    <x v="9"/>
    <x v="2"/>
    <n v="26.9"/>
    <n v="80.699999999999989"/>
    <x v="83"/>
    <d v="2025-03-30T00:00:00"/>
    <x v="3"/>
    <x v="4"/>
    <x v="1"/>
    <x v="0"/>
    <x v="46"/>
    <x v="0"/>
    <x v="12"/>
    <x v="3"/>
  </r>
  <r>
    <x v="2266"/>
    <x v="17"/>
    <x v="4"/>
    <n v="29.4"/>
    <n v="352.79999999999995"/>
    <x v="83"/>
    <d v="2025-03-26T00:00:00"/>
    <x v="2"/>
    <x v="1"/>
    <x v="0"/>
    <x v="0"/>
    <x v="51"/>
    <x v="3"/>
    <x v="12"/>
    <x v="2"/>
  </r>
  <r>
    <x v="2267"/>
    <x v="17"/>
    <x v="1"/>
    <n v="42.1"/>
    <n v="84.2"/>
    <x v="83"/>
    <d v="2025-03-26T00:00:00"/>
    <x v="2"/>
    <x v="3"/>
    <x v="1"/>
    <x v="0"/>
    <x v="1"/>
    <x v="3"/>
    <x v="12"/>
    <x v="2"/>
  </r>
  <r>
    <x v="2268"/>
    <x v="5"/>
    <x v="0"/>
    <n v="40.5"/>
    <n v="40.5"/>
    <x v="83"/>
    <d v="2025-03-26T00:00:00"/>
    <x v="2"/>
    <x v="2"/>
    <x v="1"/>
    <x v="0"/>
    <x v="1"/>
    <x v="3"/>
    <x v="12"/>
    <x v="2"/>
  </r>
  <r>
    <x v="2269"/>
    <x v="2"/>
    <x v="12"/>
    <n v="182.3"/>
    <n v="729.2"/>
    <x v="83"/>
    <d v="2025-03-26T00:00:00"/>
    <x v="2"/>
    <x v="1"/>
    <x v="0"/>
    <x v="0"/>
    <x v="1"/>
    <x v="3"/>
    <x v="12"/>
    <x v="2"/>
  </r>
  <r>
    <x v="2270"/>
    <x v="2"/>
    <x v="9"/>
    <n v="157"/>
    <n v="785"/>
    <x v="83"/>
    <d v="2025-03-28T00:00:00"/>
    <x v="2"/>
    <x v="1"/>
    <x v="2"/>
    <x v="0"/>
    <x v="2"/>
    <x v="2"/>
    <x v="12"/>
    <x v="2"/>
  </r>
  <r>
    <x v="2271"/>
    <x v="17"/>
    <x v="9"/>
    <n v="45.2"/>
    <n v="226"/>
    <x v="83"/>
    <d v="2025-03-28T00:00:00"/>
    <x v="2"/>
    <x v="1"/>
    <x v="0"/>
    <x v="0"/>
    <x v="22"/>
    <x v="2"/>
    <x v="12"/>
    <x v="2"/>
  </r>
  <r>
    <x v="2272"/>
    <x v="15"/>
    <x v="12"/>
    <n v="27.4"/>
    <n v="109.6"/>
    <x v="83"/>
    <d v="2025-03-27T00:00:00"/>
    <x v="2"/>
    <x v="0"/>
    <x v="0"/>
    <x v="0"/>
    <x v="3"/>
    <x v="1"/>
    <x v="12"/>
    <x v="2"/>
  </r>
  <r>
    <x v="2273"/>
    <x v="5"/>
    <x v="9"/>
    <n v="34.1"/>
    <n v="170.5"/>
    <x v="83"/>
    <d v="2025-03-27T00:00:00"/>
    <x v="1"/>
    <x v="0"/>
    <x v="2"/>
    <x v="0"/>
    <x v="3"/>
    <x v="1"/>
    <x v="12"/>
    <x v="1"/>
  </r>
  <r>
    <x v="2274"/>
    <x v="0"/>
    <x v="1"/>
    <n v="26"/>
    <n v="52"/>
    <x v="83"/>
    <d v="2025-03-27T00:00:00"/>
    <x v="1"/>
    <x v="2"/>
    <x v="1"/>
    <x v="0"/>
    <x v="3"/>
    <x v="1"/>
    <x v="12"/>
    <x v="1"/>
  </r>
  <r>
    <x v="2275"/>
    <x v="8"/>
    <x v="3"/>
    <n v="19.399999999999999"/>
    <n v="135.79999999999998"/>
    <x v="83"/>
    <d v="2025-03-27T00:00:00"/>
    <x v="0"/>
    <x v="1"/>
    <x v="1"/>
    <x v="0"/>
    <x v="3"/>
    <x v="1"/>
    <x v="12"/>
    <x v="0"/>
  </r>
  <r>
    <x v="2276"/>
    <x v="16"/>
    <x v="2"/>
    <n v="30.3"/>
    <n v="90.9"/>
    <x v="83"/>
    <d v="2025-03-28T00:00:00"/>
    <x v="2"/>
    <x v="1"/>
    <x v="2"/>
    <x v="0"/>
    <x v="3"/>
    <x v="2"/>
    <x v="12"/>
    <x v="2"/>
  </r>
  <r>
    <x v="2277"/>
    <x v="2"/>
    <x v="2"/>
    <n v="101.4"/>
    <n v="304.20000000000005"/>
    <x v="83"/>
    <d v="2025-03-26T00:00:00"/>
    <x v="1"/>
    <x v="0"/>
    <x v="0"/>
    <x v="0"/>
    <x v="3"/>
    <x v="3"/>
    <x v="12"/>
    <x v="1"/>
  </r>
  <r>
    <x v="2278"/>
    <x v="3"/>
    <x v="9"/>
    <n v="55.5"/>
    <n v="277.5"/>
    <x v="83"/>
    <d v="2025-03-28T00:00:00"/>
    <x v="1"/>
    <x v="1"/>
    <x v="0"/>
    <x v="0"/>
    <x v="24"/>
    <x v="2"/>
    <x v="12"/>
    <x v="1"/>
  </r>
  <r>
    <x v="2279"/>
    <x v="8"/>
    <x v="0"/>
    <n v="23.1"/>
    <n v="23.1"/>
    <x v="83"/>
    <d v="2025-03-26T00:00:00"/>
    <x v="1"/>
    <x v="0"/>
    <x v="0"/>
    <x v="0"/>
    <x v="25"/>
    <x v="3"/>
    <x v="12"/>
    <x v="1"/>
  </r>
  <r>
    <x v="2280"/>
    <x v="18"/>
    <x v="1"/>
    <n v="38.9"/>
    <n v="77.8"/>
    <x v="83"/>
    <d v="2025-03-26T00:00:00"/>
    <x v="1"/>
    <x v="2"/>
    <x v="0"/>
    <x v="0"/>
    <x v="25"/>
    <x v="3"/>
    <x v="12"/>
    <x v="1"/>
  </r>
  <r>
    <x v="2281"/>
    <x v="6"/>
    <x v="11"/>
    <n v="116.3"/>
    <n v="1046.7"/>
    <x v="83"/>
    <d v="2025-03-29T00:00:00"/>
    <x v="2"/>
    <x v="0"/>
    <x v="0"/>
    <x v="0"/>
    <x v="5"/>
    <x v="5"/>
    <x v="12"/>
    <x v="2"/>
  </r>
  <r>
    <x v="2282"/>
    <x v="16"/>
    <x v="11"/>
    <n v="64.099999999999994"/>
    <n v="576.9"/>
    <x v="83"/>
    <d v="2025-03-25T00:00:00"/>
    <x v="2"/>
    <x v="0"/>
    <x v="2"/>
    <x v="0"/>
    <x v="6"/>
    <x v="7"/>
    <x v="12"/>
    <x v="2"/>
  </r>
  <r>
    <x v="2283"/>
    <x v="2"/>
    <x v="13"/>
    <n v="109.2"/>
    <n v="655.20000000000005"/>
    <x v="83"/>
    <d v="2025-03-27T00:00:00"/>
    <x v="1"/>
    <x v="0"/>
    <x v="1"/>
    <x v="0"/>
    <x v="8"/>
    <x v="1"/>
    <x v="12"/>
    <x v="1"/>
  </r>
  <r>
    <x v="2284"/>
    <x v="10"/>
    <x v="9"/>
    <n v="23.2"/>
    <n v="116"/>
    <x v="84"/>
    <d v="2025-03-27T00:00:00"/>
    <x v="1"/>
    <x v="0"/>
    <x v="1"/>
    <x v="0"/>
    <x v="8"/>
    <x v="3"/>
    <x v="12"/>
    <x v="1"/>
  </r>
  <r>
    <x v="2285"/>
    <x v="18"/>
    <x v="13"/>
    <n v="81.2"/>
    <n v="487.20000000000005"/>
    <x v="84"/>
    <d v="2025-03-28T00:00:00"/>
    <x v="1"/>
    <x v="2"/>
    <x v="2"/>
    <x v="0"/>
    <x v="8"/>
    <x v="1"/>
    <x v="12"/>
    <x v="1"/>
  </r>
  <r>
    <x v="2286"/>
    <x v="1"/>
    <x v="21"/>
    <n v="35.700000000000003"/>
    <n v="499.80000000000007"/>
    <x v="84"/>
    <d v="2025-03-27T00:00:00"/>
    <x v="1"/>
    <x v="3"/>
    <x v="0"/>
    <x v="0"/>
    <x v="8"/>
    <x v="3"/>
    <x v="12"/>
    <x v="1"/>
  </r>
  <r>
    <x v="2287"/>
    <x v="7"/>
    <x v="1"/>
    <n v="44.5"/>
    <n v="89"/>
    <x v="84"/>
    <d v="2025-03-29T00:00:00"/>
    <x v="1"/>
    <x v="4"/>
    <x v="0"/>
    <x v="0"/>
    <x v="9"/>
    <x v="2"/>
    <x v="12"/>
    <x v="1"/>
  </r>
  <r>
    <x v="2288"/>
    <x v="1"/>
    <x v="9"/>
    <n v="32"/>
    <n v="160"/>
    <x v="84"/>
    <d v="2025-03-28T00:00:00"/>
    <x v="3"/>
    <x v="1"/>
    <x v="1"/>
    <x v="0"/>
    <x v="9"/>
    <x v="1"/>
    <x v="12"/>
    <x v="3"/>
  </r>
  <r>
    <x v="2289"/>
    <x v="8"/>
    <x v="0"/>
    <n v="25.7"/>
    <n v="25.7"/>
    <x v="84"/>
    <d v="2025-03-27T00:00:00"/>
    <x v="1"/>
    <x v="0"/>
    <x v="0"/>
    <x v="0"/>
    <x v="10"/>
    <x v="3"/>
    <x v="12"/>
    <x v="1"/>
  </r>
  <r>
    <x v="2290"/>
    <x v="16"/>
    <x v="2"/>
    <n v="65.599999999999994"/>
    <n v="196.79999999999998"/>
    <x v="84"/>
    <d v="2025-04-01T00:00:00"/>
    <x v="1"/>
    <x v="0"/>
    <x v="0"/>
    <x v="0"/>
    <x v="11"/>
    <x v="4"/>
    <x v="12"/>
    <x v="1"/>
  </r>
  <r>
    <x v="2291"/>
    <x v="1"/>
    <x v="12"/>
    <n v="52.1"/>
    <n v="208.4"/>
    <x v="84"/>
    <d v="2025-03-27T00:00:00"/>
    <x v="2"/>
    <x v="0"/>
    <x v="2"/>
    <x v="0"/>
    <x v="11"/>
    <x v="3"/>
    <x v="12"/>
    <x v="2"/>
  </r>
  <r>
    <x v="2292"/>
    <x v="8"/>
    <x v="0"/>
    <n v="31"/>
    <n v="31"/>
    <x v="84"/>
    <d v="2025-03-27T00:00:00"/>
    <x v="1"/>
    <x v="0"/>
    <x v="1"/>
    <x v="0"/>
    <x v="19"/>
    <x v="3"/>
    <x v="12"/>
    <x v="1"/>
  </r>
  <r>
    <x v="2293"/>
    <x v="8"/>
    <x v="0"/>
    <n v="32"/>
    <n v="32"/>
    <x v="84"/>
    <d v="2025-03-28T00:00:00"/>
    <x v="3"/>
    <x v="3"/>
    <x v="1"/>
    <x v="0"/>
    <x v="31"/>
    <x v="1"/>
    <x v="12"/>
    <x v="3"/>
  </r>
  <r>
    <x v="2294"/>
    <x v="16"/>
    <x v="12"/>
    <n v="58.3"/>
    <n v="233.2"/>
    <x v="84"/>
    <d v="2025-03-30T00:00:00"/>
    <x v="1"/>
    <x v="1"/>
    <x v="4"/>
    <x v="0"/>
    <x v="20"/>
    <x v="5"/>
    <x v="12"/>
    <x v="1"/>
  </r>
  <r>
    <x v="2295"/>
    <x v="8"/>
    <x v="2"/>
    <n v="31"/>
    <n v="93"/>
    <x v="84"/>
    <d v="2025-03-28T00:00:00"/>
    <x v="2"/>
    <x v="2"/>
    <x v="4"/>
    <x v="0"/>
    <x v="13"/>
    <x v="1"/>
    <x v="12"/>
    <x v="2"/>
  </r>
  <r>
    <x v="2296"/>
    <x v="3"/>
    <x v="0"/>
    <n v="40.299999999999997"/>
    <n v="40.299999999999997"/>
    <x v="84"/>
    <d v="2025-03-27T00:00:00"/>
    <x v="1"/>
    <x v="1"/>
    <x v="2"/>
    <x v="0"/>
    <x v="54"/>
    <x v="3"/>
    <x v="12"/>
    <x v="1"/>
  </r>
  <r>
    <x v="2297"/>
    <x v="6"/>
    <x v="2"/>
    <n v="47.3"/>
    <n v="141.89999999999998"/>
    <x v="84"/>
    <d v="2025-03-28T00:00:00"/>
    <x v="1"/>
    <x v="4"/>
    <x v="2"/>
    <x v="0"/>
    <x v="2"/>
    <x v="1"/>
    <x v="12"/>
    <x v="1"/>
  </r>
  <r>
    <x v="2298"/>
    <x v="2"/>
    <x v="0"/>
    <n v="82.8"/>
    <n v="82.8"/>
    <x v="84"/>
    <d v="2025-03-27T00:00:00"/>
    <x v="1"/>
    <x v="0"/>
    <x v="0"/>
    <x v="0"/>
    <x v="2"/>
    <x v="3"/>
    <x v="12"/>
    <x v="1"/>
  </r>
  <r>
    <x v="2299"/>
    <x v="8"/>
    <x v="0"/>
    <n v="18.5"/>
    <n v="18.5"/>
    <x v="84"/>
    <d v="2025-04-09T00:00:00"/>
    <x v="2"/>
    <x v="0"/>
    <x v="0"/>
    <x v="0"/>
    <x v="44"/>
    <x v="12"/>
    <x v="12"/>
    <x v="2"/>
  </r>
  <r>
    <x v="2300"/>
    <x v="3"/>
    <x v="1"/>
    <n v="60.4"/>
    <n v="120.8"/>
    <x v="84"/>
    <d v="2025-03-27T00:00:00"/>
    <x v="1"/>
    <x v="2"/>
    <x v="0"/>
    <x v="0"/>
    <x v="22"/>
    <x v="3"/>
    <x v="12"/>
    <x v="1"/>
  </r>
  <r>
    <x v="2301"/>
    <x v="6"/>
    <x v="9"/>
    <n v="80.2"/>
    <n v="401"/>
    <x v="84"/>
    <d v="2025-04-02T00:00:00"/>
    <x v="1"/>
    <x v="1"/>
    <x v="1"/>
    <x v="0"/>
    <x v="50"/>
    <x v="6"/>
    <x v="12"/>
    <x v="1"/>
  </r>
  <r>
    <x v="2302"/>
    <x v="4"/>
    <x v="0"/>
    <n v="41.5"/>
    <n v="41.5"/>
    <x v="84"/>
    <d v="2025-03-28T00:00:00"/>
    <x v="1"/>
    <x v="2"/>
    <x v="0"/>
    <x v="0"/>
    <x v="3"/>
    <x v="1"/>
    <x v="12"/>
    <x v="1"/>
  </r>
  <r>
    <x v="2303"/>
    <x v="2"/>
    <x v="1"/>
    <n v="83.9"/>
    <n v="167.8"/>
    <x v="84"/>
    <d v="2025-03-29T00:00:00"/>
    <x v="2"/>
    <x v="0"/>
    <x v="0"/>
    <x v="0"/>
    <x v="3"/>
    <x v="2"/>
    <x v="12"/>
    <x v="2"/>
  </r>
  <r>
    <x v="2304"/>
    <x v="8"/>
    <x v="1"/>
    <n v="16.7"/>
    <n v="33.4"/>
    <x v="84"/>
    <d v="2025-03-30T00:00:00"/>
    <x v="2"/>
    <x v="0"/>
    <x v="1"/>
    <x v="0"/>
    <x v="3"/>
    <x v="5"/>
    <x v="12"/>
    <x v="2"/>
  </r>
  <r>
    <x v="2305"/>
    <x v="9"/>
    <x v="1"/>
    <n v="72.900000000000006"/>
    <n v="145.80000000000001"/>
    <x v="84"/>
    <d v="2025-03-27T00:00:00"/>
    <x v="1"/>
    <x v="2"/>
    <x v="1"/>
    <x v="0"/>
    <x v="3"/>
    <x v="3"/>
    <x v="12"/>
    <x v="1"/>
  </r>
  <r>
    <x v="2306"/>
    <x v="5"/>
    <x v="1"/>
    <n v="50.2"/>
    <n v="100.4"/>
    <x v="84"/>
    <d v="2025-03-28T00:00:00"/>
    <x v="2"/>
    <x v="1"/>
    <x v="2"/>
    <x v="0"/>
    <x v="3"/>
    <x v="1"/>
    <x v="12"/>
    <x v="2"/>
  </r>
  <r>
    <x v="2307"/>
    <x v="3"/>
    <x v="1"/>
    <n v="34.200000000000003"/>
    <n v="68.400000000000006"/>
    <x v="84"/>
    <d v="2025-04-05T00:00:00"/>
    <x v="0"/>
    <x v="1"/>
    <x v="0"/>
    <x v="0"/>
    <x v="3"/>
    <x v="14"/>
    <x v="12"/>
    <x v="0"/>
  </r>
  <r>
    <x v="2308"/>
    <x v="5"/>
    <x v="1"/>
    <n v="107.9"/>
    <n v="215.8"/>
    <x v="84"/>
    <d v="2025-03-26T00:00:00"/>
    <x v="1"/>
    <x v="1"/>
    <x v="4"/>
    <x v="0"/>
    <x v="3"/>
    <x v="7"/>
    <x v="12"/>
    <x v="1"/>
  </r>
  <r>
    <x v="2309"/>
    <x v="0"/>
    <x v="2"/>
    <n v="17.5"/>
    <n v="52.5"/>
    <x v="84"/>
    <d v="2025-03-28T00:00:00"/>
    <x v="1"/>
    <x v="4"/>
    <x v="0"/>
    <x v="0"/>
    <x v="3"/>
    <x v="1"/>
    <x v="12"/>
    <x v="1"/>
  </r>
  <r>
    <x v="2310"/>
    <x v="13"/>
    <x v="20"/>
    <n v="44.7"/>
    <n v="670.5"/>
    <x v="84"/>
    <d v="2025-03-27T00:00:00"/>
    <x v="1"/>
    <x v="0"/>
    <x v="1"/>
    <x v="0"/>
    <x v="3"/>
    <x v="3"/>
    <x v="12"/>
    <x v="1"/>
  </r>
  <r>
    <x v="2311"/>
    <x v="12"/>
    <x v="13"/>
    <n v="92.7"/>
    <n v="556.20000000000005"/>
    <x v="84"/>
    <d v="2025-03-28T00:00:00"/>
    <x v="2"/>
    <x v="2"/>
    <x v="1"/>
    <x v="0"/>
    <x v="3"/>
    <x v="1"/>
    <x v="12"/>
    <x v="2"/>
  </r>
  <r>
    <x v="2312"/>
    <x v="7"/>
    <x v="2"/>
    <n v="48.8"/>
    <n v="146.39999999999998"/>
    <x v="84"/>
    <d v="2025-03-28T00:00:00"/>
    <x v="2"/>
    <x v="2"/>
    <x v="0"/>
    <x v="0"/>
    <x v="3"/>
    <x v="1"/>
    <x v="12"/>
    <x v="2"/>
  </r>
  <r>
    <x v="2313"/>
    <x v="4"/>
    <x v="27"/>
    <n v="21.3"/>
    <n v="340.8"/>
    <x v="84"/>
    <d v="2025-03-30T00:00:00"/>
    <x v="2"/>
    <x v="3"/>
    <x v="3"/>
    <x v="0"/>
    <x v="3"/>
    <x v="5"/>
    <x v="12"/>
    <x v="2"/>
  </r>
  <r>
    <x v="2314"/>
    <x v="16"/>
    <x v="0"/>
    <n v="52.5"/>
    <n v="52.5"/>
    <x v="84"/>
    <d v="2025-03-27T00:00:00"/>
    <x v="2"/>
    <x v="0"/>
    <x v="0"/>
    <x v="0"/>
    <x v="3"/>
    <x v="3"/>
    <x v="12"/>
    <x v="2"/>
  </r>
  <r>
    <x v="2315"/>
    <x v="1"/>
    <x v="1"/>
    <n v="92.4"/>
    <n v="184.8"/>
    <x v="84"/>
    <d v="2025-04-01T00:00:00"/>
    <x v="2"/>
    <x v="0"/>
    <x v="2"/>
    <x v="0"/>
    <x v="3"/>
    <x v="4"/>
    <x v="12"/>
    <x v="2"/>
  </r>
  <r>
    <x v="2316"/>
    <x v="4"/>
    <x v="5"/>
    <n v="58.3"/>
    <n v="641.29999999999995"/>
    <x v="84"/>
    <d v="2025-03-28T00:00:00"/>
    <x v="1"/>
    <x v="1"/>
    <x v="2"/>
    <x v="0"/>
    <x v="3"/>
    <x v="1"/>
    <x v="12"/>
    <x v="1"/>
  </r>
  <r>
    <x v="2317"/>
    <x v="6"/>
    <x v="44"/>
    <n v="152.6"/>
    <n v="3509.7999999999997"/>
    <x v="85"/>
    <d v="2025-03-29T00:00:00"/>
    <x v="0"/>
    <x v="0"/>
    <x v="0"/>
    <x v="0"/>
    <x v="3"/>
    <x v="1"/>
    <x v="12"/>
    <x v="0"/>
  </r>
  <r>
    <x v="2318"/>
    <x v="8"/>
    <x v="1"/>
    <n v="26"/>
    <n v="52"/>
    <x v="85"/>
    <d v="2025-03-27T00:00:00"/>
    <x v="0"/>
    <x v="0"/>
    <x v="1"/>
    <x v="0"/>
    <x v="3"/>
    <x v="7"/>
    <x v="12"/>
    <x v="0"/>
  </r>
  <r>
    <x v="2319"/>
    <x v="1"/>
    <x v="12"/>
    <n v="33.1"/>
    <n v="132.4"/>
    <x v="85"/>
    <d v="2025-03-27T00:00:00"/>
    <x v="1"/>
    <x v="2"/>
    <x v="4"/>
    <x v="0"/>
    <x v="5"/>
    <x v="7"/>
    <x v="12"/>
    <x v="1"/>
  </r>
  <r>
    <x v="2320"/>
    <x v="18"/>
    <x v="0"/>
    <n v="51.4"/>
    <n v="51.4"/>
    <x v="85"/>
    <d v="2025-03-29T00:00:00"/>
    <x v="2"/>
    <x v="1"/>
    <x v="1"/>
    <x v="0"/>
    <x v="5"/>
    <x v="1"/>
    <x v="12"/>
    <x v="2"/>
  </r>
  <r>
    <x v="2321"/>
    <x v="8"/>
    <x v="1"/>
    <n v="30.2"/>
    <n v="60.4"/>
    <x v="85"/>
    <d v="2025-03-28T00:00:00"/>
    <x v="2"/>
    <x v="2"/>
    <x v="2"/>
    <x v="0"/>
    <x v="6"/>
    <x v="3"/>
    <x v="12"/>
    <x v="2"/>
  </r>
  <r>
    <x v="2322"/>
    <x v="2"/>
    <x v="13"/>
    <n v="97"/>
    <n v="582"/>
    <x v="85"/>
    <d v="2025-03-31T00:00:00"/>
    <x v="2"/>
    <x v="0"/>
    <x v="2"/>
    <x v="0"/>
    <x v="7"/>
    <x v="5"/>
    <x v="12"/>
    <x v="2"/>
  </r>
  <r>
    <x v="2323"/>
    <x v="2"/>
    <x v="0"/>
    <n v="76.900000000000006"/>
    <n v="76.900000000000006"/>
    <x v="85"/>
    <d v="2025-03-28T00:00:00"/>
    <x v="1"/>
    <x v="1"/>
    <x v="2"/>
    <x v="0"/>
    <x v="8"/>
    <x v="3"/>
    <x v="12"/>
    <x v="1"/>
  </r>
  <r>
    <x v="2324"/>
    <x v="7"/>
    <x v="13"/>
    <n v="36.1"/>
    <n v="216.60000000000002"/>
    <x v="85"/>
    <d v="2025-03-31T00:00:00"/>
    <x v="2"/>
    <x v="0"/>
    <x v="0"/>
    <x v="0"/>
    <x v="8"/>
    <x v="5"/>
    <x v="12"/>
    <x v="2"/>
  </r>
  <r>
    <x v="2325"/>
    <x v="1"/>
    <x v="3"/>
    <n v="34.4"/>
    <n v="240.79999999999998"/>
    <x v="85"/>
    <d v="2025-03-27T00:00:00"/>
    <x v="2"/>
    <x v="2"/>
    <x v="1"/>
    <x v="0"/>
    <x v="11"/>
    <x v="7"/>
    <x v="12"/>
    <x v="2"/>
  </r>
  <r>
    <x v="2326"/>
    <x v="1"/>
    <x v="31"/>
    <n v="53.4"/>
    <n v="1495.2"/>
    <x v="85"/>
    <d v="2025-03-29T00:00:00"/>
    <x v="2"/>
    <x v="1"/>
    <x v="0"/>
    <x v="0"/>
    <x v="18"/>
    <x v="1"/>
    <x v="12"/>
    <x v="2"/>
  </r>
  <r>
    <x v="2327"/>
    <x v="2"/>
    <x v="0"/>
    <n v="77.599999999999994"/>
    <n v="77.599999999999994"/>
    <x v="85"/>
    <d v="2025-03-28T00:00:00"/>
    <x v="2"/>
    <x v="0"/>
    <x v="1"/>
    <x v="0"/>
    <x v="19"/>
    <x v="3"/>
    <x v="12"/>
    <x v="2"/>
  </r>
  <r>
    <x v="2328"/>
    <x v="1"/>
    <x v="2"/>
    <n v="71.7"/>
    <n v="215.10000000000002"/>
    <x v="85"/>
    <d v="2025-03-30T00:00:00"/>
    <x v="2"/>
    <x v="1"/>
    <x v="0"/>
    <x v="0"/>
    <x v="19"/>
    <x v="2"/>
    <x v="12"/>
    <x v="2"/>
  </r>
  <r>
    <x v="2329"/>
    <x v="3"/>
    <x v="2"/>
    <n v="80.599999999999994"/>
    <n v="241.79999999999998"/>
    <x v="85"/>
    <d v="2025-03-28T00:00:00"/>
    <x v="1"/>
    <x v="4"/>
    <x v="1"/>
    <x v="0"/>
    <x v="19"/>
    <x v="3"/>
    <x v="12"/>
    <x v="1"/>
  </r>
  <r>
    <x v="2330"/>
    <x v="1"/>
    <x v="20"/>
    <n v="70"/>
    <n v="1050"/>
    <x v="85"/>
    <d v="2025-03-29T00:00:00"/>
    <x v="1"/>
    <x v="0"/>
    <x v="0"/>
    <x v="0"/>
    <x v="20"/>
    <x v="1"/>
    <x v="12"/>
    <x v="1"/>
  </r>
  <r>
    <x v="2331"/>
    <x v="4"/>
    <x v="13"/>
    <n v="27.3"/>
    <n v="163.80000000000001"/>
    <x v="85"/>
    <d v="2025-03-29T00:00:00"/>
    <x v="2"/>
    <x v="1"/>
    <x v="1"/>
    <x v="0"/>
    <x v="2"/>
    <x v="1"/>
    <x v="12"/>
    <x v="2"/>
  </r>
  <r>
    <x v="2332"/>
    <x v="8"/>
    <x v="21"/>
    <n v="37.6"/>
    <n v="526.4"/>
    <x v="85"/>
    <d v="2025-03-29T00:00:00"/>
    <x v="1"/>
    <x v="1"/>
    <x v="0"/>
    <x v="0"/>
    <x v="3"/>
    <x v="1"/>
    <x v="12"/>
    <x v="1"/>
  </r>
  <r>
    <x v="2333"/>
    <x v="5"/>
    <x v="2"/>
    <n v="36.6"/>
    <n v="109.80000000000001"/>
    <x v="85"/>
    <d v="2025-03-29T00:00:00"/>
    <x v="2"/>
    <x v="4"/>
    <x v="0"/>
    <x v="0"/>
    <x v="3"/>
    <x v="1"/>
    <x v="12"/>
    <x v="2"/>
  </r>
  <r>
    <x v="2334"/>
    <x v="13"/>
    <x v="0"/>
    <n v="55.2"/>
    <n v="55.2"/>
    <x v="85"/>
    <d v="2025-03-29T00:00:00"/>
    <x v="1"/>
    <x v="3"/>
    <x v="0"/>
    <x v="0"/>
    <x v="3"/>
    <x v="1"/>
    <x v="12"/>
    <x v="1"/>
  </r>
  <r>
    <x v="2335"/>
    <x v="6"/>
    <x v="9"/>
    <n v="59.9"/>
    <n v="299.5"/>
    <x v="85"/>
    <d v="2025-03-29T00:00:00"/>
    <x v="1"/>
    <x v="0"/>
    <x v="0"/>
    <x v="0"/>
    <x v="3"/>
    <x v="1"/>
    <x v="12"/>
    <x v="1"/>
  </r>
  <r>
    <x v="2336"/>
    <x v="6"/>
    <x v="0"/>
    <n v="44"/>
    <n v="44"/>
    <x v="85"/>
    <d v="2025-03-28T00:00:00"/>
    <x v="2"/>
    <x v="2"/>
    <x v="2"/>
    <x v="0"/>
    <x v="3"/>
    <x v="3"/>
    <x v="12"/>
    <x v="2"/>
  </r>
  <r>
    <x v="2337"/>
    <x v="9"/>
    <x v="1"/>
    <n v="68.7"/>
    <n v="137.4"/>
    <x v="85"/>
    <d v="2025-03-27T00:00:00"/>
    <x v="1"/>
    <x v="0"/>
    <x v="0"/>
    <x v="0"/>
    <x v="3"/>
    <x v="7"/>
    <x v="12"/>
    <x v="1"/>
  </r>
  <r>
    <x v="2338"/>
    <x v="5"/>
    <x v="1"/>
    <n v="61.6"/>
    <n v="123.2"/>
    <x v="85"/>
    <d v="2025-03-31T00:00:00"/>
    <x v="1"/>
    <x v="3"/>
    <x v="1"/>
    <x v="0"/>
    <x v="3"/>
    <x v="5"/>
    <x v="12"/>
    <x v="1"/>
  </r>
  <r>
    <x v="2339"/>
    <x v="7"/>
    <x v="3"/>
    <n v="51.8"/>
    <n v="362.59999999999997"/>
    <x v="85"/>
    <d v="2025-03-28T00:00:00"/>
    <x v="1"/>
    <x v="0"/>
    <x v="0"/>
    <x v="0"/>
    <x v="3"/>
    <x v="3"/>
    <x v="12"/>
    <x v="1"/>
  </r>
  <r>
    <x v="2340"/>
    <x v="8"/>
    <x v="7"/>
    <n v="46.2"/>
    <n v="462"/>
    <x v="85"/>
    <d v="2025-03-29T00:00:00"/>
    <x v="1"/>
    <x v="1"/>
    <x v="2"/>
    <x v="0"/>
    <x v="3"/>
    <x v="1"/>
    <x v="12"/>
    <x v="1"/>
  </r>
  <r>
    <x v="2341"/>
    <x v="0"/>
    <x v="1"/>
    <n v="19.399999999999999"/>
    <n v="38.799999999999997"/>
    <x v="85"/>
    <d v="2025-03-29T00:00:00"/>
    <x v="2"/>
    <x v="1"/>
    <x v="2"/>
    <x v="0"/>
    <x v="6"/>
    <x v="1"/>
    <x v="12"/>
    <x v="2"/>
  </r>
  <r>
    <x v="2342"/>
    <x v="11"/>
    <x v="2"/>
    <n v="52.1"/>
    <n v="156.30000000000001"/>
    <x v="85"/>
    <d v="2025-03-30T00:00:00"/>
    <x v="1"/>
    <x v="3"/>
    <x v="3"/>
    <x v="0"/>
    <x v="6"/>
    <x v="2"/>
    <x v="12"/>
    <x v="1"/>
  </r>
  <r>
    <x v="2343"/>
    <x v="6"/>
    <x v="0"/>
    <n v="74.900000000000006"/>
    <n v="74.900000000000006"/>
    <x v="85"/>
    <d v="2025-03-29T00:00:00"/>
    <x v="3"/>
    <x v="0"/>
    <x v="0"/>
    <x v="0"/>
    <x v="7"/>
    <x v="1"/>
    <x v="12"/>
    <x v="3"/>
  </r>
  <r>
    <x v="2344"/>
    <x v="9"/>
    <x v="3"/>
    <n v="49.6"/>
    <n v="347.2"/>
    <x v="85"/>
    <d v="2025-03-30T00:00:00"/>
    <x v="2"/>
    <x v="4"/>
    <x v="0"/>
    <x v="0"/>
    <x v="8"/>
    <x v="2"/>
    <x v="12"/>
    <x v="2"/>
  </r>
  <r>
    <x v="2345"/>
    <x v="16"/>
    <x v="12"/>
    <n v="82.8"/>
    <n v="331.2"/>
    <x v="86"/>
    <d v="2025-03-31T00:00:00"/>
    <x v="2"/>
    <x v="4"/>
    <x v="0"/>
    <x v="0"/>
    <x v="8"/>
    <x v="2"/>
    <x v="12"/>
    <x v="2"/>
  </r>
  <r>
    <x v="2346"/>
    <x v="2"/>
    <x v="0"/>
    <n v="97.7"/>
    <n v="97.7"/>
    <x v="86"/>
    <d v="2025-03-29T00:00:00"/>
    <x v="2"/>
    <x v="1"/>
    <x v="0"/>
    <x v="0"/>
    <x v="8"/>
    <x v="3"/>
    <x v="12"/>
    <x v="2"/>
  </r>
  <r>
    <x v="2347"/>
    <x v="6"/>
    <x v="9"/>
    <n v="83.6"/>
    <n v="418"/>
    <x v="86"/>
    <d v="2025-03-29T00:00:00"/>
    <x v="2"/>
    <x v="4"/>
    <x v="0"/>
    <x v="0"/>
    <x v="8"/>
    <x v="3"/>
    <x v="12"/>
    <x v="2"/>
  </r>
  <r>
    <x v="2348"/>
    <x v="8"/>
    <x v="9"/>
    <n v="23.5"/>
    <n v="117.5"/>
    <x v="86"/>
    <d v="2025-04-01T00:00:00"/>
    <x v="3"/>
    <x v="0"/>
    <x v="0"/>
    <x v="0"/>
    <x v="8"/>
    <x v="5"/>
    <x v="12"/>
    <x v="3"/>
  </r>
  <r>
    <x v="2349"/>
    <x v="9"/>
    <x v="2"/>
    <n v="44.6"/>
    <n v="133.80000000000001"/>
    <x v="86"/>
    <d v="2025-03-31T00:00:00"/>
    <x v="2"/>
    <x v="4"/>
    <x v="1"/>
    <x v="0"/>
    <x v="26"/>
    <x v="2"/>
    <x v="12"/>
    <x v="2"/>
  </r>
  <r>
    <x v="2350"/>
    <x v="0"/>
    <x v="2"/>
    <n v="20.100000000000001"/>
    <n v="60.300000000000004"/>
    <x v="86"/>
    <d v="2025-03-30T00:00:00"/>
    <x v="2"/>
    <x v="3"/>
    <x v="4"/>
    <x v="0"/>
    <x v="11"/>
    <x v="1"/>
    <x v="12"/>
    <x v="2"/>
  </r>
  <r>
    <x v="2351"/>
    <x v="2"/>
    <x v="9"/>
    <n v="153.6"/>
    <n v="768"/>
    <x v="86"/>
    <d v="2025-03-29T00:00:00"/>
    <x v="2"/>
    <x v="1"/>
    <x v="2"/>
    <x v="0"/>
    <x v="53"/>
    <x v="3"/>
    <x v="12"/>
    <x v="2"/>
  </r>
  <r>
    <x v="2352"/>
    <x v="1"/>
    <x v="1"/>
    <n v="71.8"/>
    <n v="143.6"/>
    <x v="86"/>
    <d v="2025-04-01T00:00:00"/>
    <x v="2"/>
    <x v="1"/>
    <x v="0"/>
    <x v="0"/>
    <x v="1"/>
    <x v="5"/>
    <x v="12"/>
    <x v="2"/>
  </r>
  <r>
    <x v="2353"/>
    <x v="10"/>
    <x v="0"/>
    <n v="64.7"/>
    <n v="64.7"/>
    <x v="86"/>
    <d v="2025-03-30T00:00:00"/>
    <x v="0"/>
    <x v="0"/>
    <x v="1"/>
    <x v="0"/>
    <x v="1"/>
    <x v="1"/>
    <x v="12"/>
    <x v="0"/>
  </r>
  <r>
    <x v="2354"/>
    <x v="9"/>
    <x v="8"/>
    <n v="60.4"/>
    <n v="483.2"/>
    <x v="86"/>
    <d v="2025-03-30T00:00:00"/>
    <x v="2"/>
    <x v="3"/>
    <x v="2"/>
    <x v="0"/>
    <x v="2"/>
    <x v="1"/>
    <x v="12"/>
    <x v="2"/>
  </r>
  <r>
    <x v="2355"/>
    <x v="6"/>
    <x v="12"/>
    <n v="86"/>
    <n v="344"/>
    <x v="86"/>
    <d v="2025-03-31T00:00:00"/>
    <x v="2"/>
    <x v="2"/>
    <x v="2"/>
    <x v="0"/>
    <x v="22"/>
    <x v="2"/>
    <x v="12"/>
    <x v="2"/>
  </r>
  <r>
    <x v="2356"/>
    <x v="12"/>
    <x v="1"/>
    <n v="42.1"/>
    <n v="84.2"/>
    <x v="86"/>
    <d v="2025-03-29T00:00:00"/>
    <x v="2"/>
    <x v="4"/>
    <x v="1"/>
    <x v="0"/>
    <x v="34"/>
    <x v="3"/>
    <x v="12"/>
    <x v="2"/>
  </r>
  <r>
    <x v="2357"/>
    <x v="16"/>
    <x v="11"/>
    <n v="51.1"/>
    <n v="459.90000000000003"/>
    <x v="86"/>
    <d v="2025-03-29T00:00:00"/>
    <x v="1"/>
    <x v="2"/>
    <x v="1"/>
    <x v="0"/>
    <x v="3"/>
    <x v="3"/>
    <x v="12"/>
    <x v="1"/>
  </r>
  <r>
    <x v="2358"/>
    <x v="9"/>
    <x v="12"/>
    <n v="73.8"/>
    <n v="295.2"/>
    <x v="86"/>
    <d v="2025-03-29T00:00:00"/>
    <x v="1"/>
    <x v="4"/>
    <x v="0"/>
    <x v="0"/>
    <x v="3"/>
    <x v="3"/>
    <x v="12"/>
    <x v="1"/>
  </r>
  <r>
    <x v="2359"/>
    <x v="8"/>
    <x v="9"/>
    <n v="27"/>
    <n v="135"/>
    <x v="86"/>
    <d v="2025-03-31T00:00:00"/>
    <x v="2"/>
    <x v="2"/>
    <x v="2"/>
    <x v="0"/>
    <x v="3"/>
    <x v="2"/>
    <x v="12"/>
    <x v="2"/>
  </r>
  <r>
    <x v="2360"/>
    <x v="8"/>
    <x v="13"/>
    <n v="60.1"/>
    <n v="360.6"/>
    <x v="86"/>
    <d v="2025-03-29T00:00:00"/>
    <x v="1"/>
    <x v="3"/>
    <x v="0"/>
    <x v="0"/>
    <x v="3"/>
    <x v="3"/>
    <x v="12"/>
    <x v="1"/>
  </r>
  <r>
    <x v="2361"/>
    <x v="2"/>
    <x v="3"/>
    <n v="94.1"/>
    <n v="658.69999999999993"/>
    <x v="86"/>
    <d v="2025-03-30T00:00:00"/>
    <x v="2"/>
    <x v="4"/>
    <x v="1"/>
    <x v="0"/>
    <x v="3"/>
    <x v="1"/>
    <x v="12"/>
    <x v="2"/>
  </r>
  <r>
    <x v="2362"/>
    <x v="2"/>
    <x v="1"/>
    <n v="124.1"/>
    <n v="248.2"/>
    <x v="86"/>
    <d v="2025-03-28T00:00:00"/>
    <x v="2"/>
    <x v="2"/>
    <x v="3"/>
    <x v="0"/>
    <x v="43"/>
    <x v="7"/>
    <x v="12"/>
    <x v="2"/>
  </r>
  <r>
    <x v="2363"/>
    <x v="8"/>
    <x v="12"/>
    <n v="16.899999999999999"/>
    <n v="67.599999999999994"/>
    <x v="86"/>
    <d v="2025-03-31T00:00:00"/>
    <x v="1"/>
    <x v="3"/>
    <x v="0"/>
    <x v="0"/>
    <x v="6"/>
    <x v="2"/>
    <x v="12"/>
    <x v="1"/>
  </r>
  <r>
    <x v="2364"/>
    <x v="1"/>
    <x v="0"/>
    <n v="36.9"/>
    <n v="36.9"/>
    <x v="86"/>
    <d v="2025-03-29T00:00:00"/>
    <x v="1"/>
    <x v="0"/>
    <x v="0"/>
    <x v="0"/>
    <x v="6"/>
    <x v="3"/>
    <x v="12"/>
    <x v="1"/>
  </r>
  <r>
    <x v="2365"/>
    <x v="9"/>
    <x v="1"/>
    <n v="22.6"/>
    <n v="45.2"/>
    <x v="86"/>
    <d v="2025-04-10T00:00:00"/>
    <x v="2"/>
    <x v="2"/>
    <x v="1"/>
    <x v="0"/>
    <x v="8"/>
    <x v="10"/>
    <x v="12"/>
    <x v="2"/>
  </r>
  <r>
    <x v="2366"/>
    <x v="7"/>
    <x v="12"/>
    <n v="35"/>
    <n v="140"/>
    <x v="86"/>
    <d v="2025-04-02T00:00:00"/>
    <x v="1"/>
    <x v="3"/>
    <x v="1"/>
    <x v="0"/>
    <x v="8"/>
    <x v="0"/>
    <x v="12"/>
    <x v="1"/>
  </r>
  <r>
    <x v="2367"/>
    <x v="9"/>
    <x v="13"/>
    <n v="63.6"/>
    <n v="381.6"/>
    <x v="86"/>
    <d v="2025-04-04T00:00:00"/>
    <x v="0"/>
    <x v="1"/>
    <x v="2"/>
    <x v="0"/>
    <x v="8"/>
    <x v="6"/>
    <x v="12"/>
    <x v="0"/>
  </r>
  <r>
    <x v="2368"/>
    <x v="15"/>
    <x v="12"/>
    <n v="78.599999999999994"/>
    <n v="314.39999999999998"/>
    <x v="86"/>
    <d v="2025-03-29T00:00:00"/>
    <x v="1"/>
    <x v="4"/>
    <x v="1"/>
    <x v="0"/>
    <x v="8"/>
    <x v="3"/>
    <x v="12"/>
    <x v="1"/>
  </r>
  <r>
    <x v="2369"/>
    <x v="3"/>
    <x v="1"/>
    <n v="38.5"/>
    <n v="77"/>
    <x v="86"/>
    <d v="2025-03-29T00:00:00"/>
    <x v="1"/>
    <x v="0"/>
    <x v="2"/>
    <x v="0"/>
    <x v="8"/>
    <x v="3"/>
    <x v="12"/>
    <x v="1"/>
  </r>
  <r>
    <x v="2370"/>
    <x v="8"/>
    <x v="5"/>
    <n v="71.5"/>
    <n v="786.5"/>
    <x v="86"/>
    <d v="2025-03-29T00:00:00"/>
    <x v="2"/>
    <x v="1"/>
    <x v="4"/>
    <x v="0"/>
    <x v="8"/>
    <x v="3"/>
    <x v="12"/>
    <x v="2"/>
  </r>
  <r>
    <x v="2371"/>
    <x v="6"/>
    <x v="12"/>
    <n v="121.4"/>
    <n v="485.6"/>
    <x v="86"/>
    <d v="2025-04-01T00:00:00"/>
    <x v="1"/>
    <x v="1"/>
    <x v="2"/>
    <x v="0"/>
    <x v="17"/>
    <x v="5"/>
    <x v="12"/>
    <x v="1"/>
  </r>
  <r>
    <x v="2372"/>
    <x v="11"/>
    <x v="0"/>
    <n v="40.200000000000003"/>
    <n v="40.200000000000003"/>
    <x v="86"/>
    <d v="2025-03-31T00:00:00"/>
    <x v="2"/>
    <x v="0"/>
    <x v="2"/>
    <x v="0"/>
    <x v="11"/>
    <x v="2"/>
    <x v="12"/>
    <x v="2"/>
  </r>
  <r>
    <x v="2373"/>
    <x v="5"/>
    <x v="9"/>
    <n v="31.9"/>
    <n v="159.5"/>
    <x v="86"/>
    <d v="2025-03-30T00:00:00"/>
    <x v="2"/>
    <x v="2"/>
    <x v="2"/>
    <x v="0"/>
    <x v="28"/>
    <x v="1"/>
    <x v="12"/>
    <x v="2"/>
  </r>
  <r>
    <x v="2374"/>
    <x v="14"/>
    <x v="9"/>
    <n v="15.8"/>
    <n v="79"/>
    <x v="87"/>
    <d v="2025-03-30T00:00:00"/>
    <x v="1"/>
    <x v="3"/>
    <x v="2"/>
    <x v="0"/>
    <x v="21"/>
    <x v="3"/>
    <x v="12"/>
    <x v="1"/>
  </r>
  <r>
    <x v="2375"/>
    <x v="10"/>
    <x v="1"/>
    <n v="25.1"/>
    <n v="50.2"/>
    <x v="87"/>
    <d v="2025-03-31T00:00:00"/>
    <x v="0"/>
    <x v="1"/>
    <x v="0"/>
    <x v="0"/>
    <x v="21"/>
    <x v="1"/>
    <x v="12"/>
    <x v="0"/>
  </r>
  <r>
    <x v="2376"/>
    <x v="1"/>
    <x v="44"/>
    <n v="38.1"/>
    <n v="876.30000000000007"/>
    <x v="87"/>
    <d v="2025-03-30T00:00:00"/>
    <x v="2"/>
    <x v="4"/>
    <x v="0"/>
    <x v="0"/>
    <x v="1"/>
    <x v="3"/>
    <x v="12"/>
    <x v="2"/>
  </r>
  <r>
    <x v="2377"/>
    <x v="3"/>
    <x v="1"/>
    <n v="42.2"/>
    <n v="84.4"/>
    <x v="87"/>
    <d v="2025-03-31T00:00:00"/>
    <x v="2"/>
    <x v="0"/>
    <x v="2"/>
    <x v="0"/>
    <x v="1"/>
    <x v="1"/>
    <x v="12"/>
    <x v="2"/>
  </r>
  <r>
    <x v="2378"/>
    <x v="0"/>
    <x v="7"/>
    <n v="12.3"/>
    <n v="123"/>
    <x v="87"/>
    <d v="2025-03-30T00:00:00"/>
    <x v="2"/>
    <x v="4"/>
    <x v="0"/>
    <x v="0"/>
    <x v="2"/>
    <x v="3"/>
    <x v="12"/>
    <x v="2"/>
  </r>
  <r>
    <x v="2379"/>
    <x v="7"/>
    <x v="0"/>
    <n v="30.2"/>
    <n v="30.2"/>
    <x v="87"/>
    <d v="2025-03-31T00:00:00"/>
    <x v="2"/>
    <x v="1"/>
    <x v="2"/>
    <x v="0"/>
    <x v="34"/>
    <x v="1"/>
    <x v="12"/>
    <x v="2"/>
  </r>
  <r>
    <x v="2380"/>
    <x v="5"/>
    <x v="2"/>
    <n v="25.3"/>
    <n v="75.900000000000006"/>
    <x v="87"/>
    <d v="2025-04-01T00:00:00"/>
    <x v="2"/>
    <x v="2"/>
    <x v="0"/>
    <x v="0"/>
    <x v="3"/>
    <x v="2"/>
    <x v="12"/>
    <x v="2"/>
  </r>
  <r>
    <x v="2381"/>
    <x v="8"/>
    <x v="9"/>
    <n v="29.7"/>
    <n v="148.5"/>
    <x v="87"/>
    <d v="2025-03-31T00:00:00"/>
    <x v="1"/>
    <x v="3"/>
    <x v="0"/>
    <x v="0"/>
    <x v="3"/>
    <x v="1"/>
    <x v="12"/>
    <x v="1"/>
  </r>
  <r>
    <x v="2382"/>
    <x v="9"/>
    <x v="8"/>
    <n v="32.9"/>
    <n v="263.2"/>
    <x v="87"/>
    <d v="2025-03-30T00:00:00"/>
    <x v="0"/>
    <x v="3"/>
    <x v="2"/>
    <x v="0"/>
    <x v="3"/>
    <x v="3"/>
    <x v="12"/>
    <x v="0"/>
  </r>
  <r>
    <x v="2383"/>
    <x v="10"/>
    <x v="1"/>
    <n v="43.6"/>
    <n v="87.2"/>
    <x v="87"/>
    <d v="2025-03-30T00:00:00"/>
    <x v="1"/>
    <x v="1"/>
    <x v="2"/>
    <x v="0"/>
    <x v="3"/>
    <x v="3"/>
    <x v="12"/>
    <x v="1"/>
  </r>
  <r>
    <x v="2384"/>
    <x v="15"/>
    <x v="12"/>
    <n v="78.400000000000006"/>
    <n v="313.60000000000002"/>
    <x v="87"/>
    <d v="2025-03-30T00:00:00"/>
    <x v="1"/>
    <x v="2"/>
    <x v="0"/>
    <x v="0"/>
    <x v="3"/>
    <x v="3"/>
    <x v="12"/>
    <x v="1"/>
  </r>
  <r>
    <x v="2385"/>
    <x v="6"/>
    <x v="1"/>
    <n v="56.5"/>
    <n v="113"/>
    <x v="87"/>
    <d v="2025-04-02T00:00:00"/>
    <x v="1"/>
    <x v="1"/>
    <x v="1"/>
    <x v="0"/>
    <x v="3"/>
    <x v="5"/>
    <x v="12"/>
    <x v="1"/>
  </r>
  <r>
    <x v="2386"/>
    <x v="16"/>
    <x v="0"/>
    <n v="36.700000000000003"/>
    <n v="36.700000000000003"/>
    <x v="87"/>
    <d v="2025-03-30T00:00:00"/>
    <x v="2"/>
    <x v="0"/>
    <x v="2"/>
    <x v="0"/>
    <x v="3"/>
    <x v="3"/>
    <x v="12"/>
    <x v="2"/>
  </r>
  <r>
    <x v="2387"/>
    <x v="2"/>
    <x v="12"/>
    <n v="103.6"/>
    <n v="414.4"/>
    <x v="87"/>
    <d v="2025-04-09T00:00:00"/>
    <x v="1"/>
    <x v="4"/>
    <x v="2"/>
    <x v="0"/>
    <x v="3"/>
    <x v="11"/>
    <x v="12"/>
    <x v="1"/>
  </r>
  <r>
    <x v="2388"/>
    <x v="8"/>
    <x v="13"/>
    <n v="16.2"/>
    <n v="97.199999999999989"/>
    <x v="87"/>
    <d v="2025-04-02T00:00:00"/>
    <x v="1"/>
    <x v="1"/>
    <x v="2"/>
    <x v="0"/>
    <x v="6"/>
    <x v="5"/>
    <x v="12"/>
    <x v="1"/>
  </r>
  <r>
    <x v="2389"/>
    <x v="8"/>
    <x v="1"/>
    <n v="20.2"/>
    <n v="40.4"/>
    <x v="87"/>
    <d v="2025-03-30T00:00:00"/>
    <x v="2"/>
    <x v="0"/>
    <x v="0"/>
    <x v="0"/>
    <x v="6"/>
    <x v="3"/>
    <x v="12"/>
    <x v="2"/>
  </r>
  <r>
    <x v="2390"/>
    <x v="11"/>
    <x v="1"/>
    <n v="26.9"/>
    <n v="53.8"/>
    <x v="87"/>
    <d v="2025-03-31T00:00:00"/>
    <x v="2"/>
    <x v="2"/>
    <x v="0"/>
    <x v="0"/>
    <x v="6"/>
    <x v="1"/>
    <x v="12"/>
    <x v="2"/>
  </r>
  <r>
    <x v="2391"/>
    <x v="1"/>
    <x v="1"/>
    <n v="82.4"/>
    <n v="164.8"/>
    <x v="87"/>
    <d v="2025-04-01T00:00:00"/>
    <x v="0"/>
    <x v="0"/>
    <x v="0"/>
    <x v="0"/>
    <x v="7"/>
    <x v="2"/>
    <x v="12"/>
    <x v="0"/>
  </r>
  <r>
    <x v="2392"/>
    <x v="2"/>
    <x v="1"/>
    <n v="117.8"/>
    <n v="235.6"/>
    <x v="87"/>
    <d v="2025-03-31T00:00:00"/>
    <x v="1"/>
    <x v="1"/>
    <x v="2"/>
    <x v="0"/>
    <x v="8"/>
    <x v="1"/>
    <x v="12"/>
    <x v="1"/>
  </r>
  <r>
    <x v="2393"/>
    <x v="11"/>
    <x v="12"/>
    <n v="36.700000000000003"/>
    <n v="146.80000000000001"/>
    <x v="87"/>
    <d v="2025-03-30T00:00:00"/>
    <x v="1"/>
    <x v="1"/>
    <x v="0"/>
    <x v="0"/>
    <x v="8"/>
    <x v="3"/>
    <x v="12"/>
    <x v="1"/>
  </r>
  <r>
    <x v="2394"/>
    <x v="17"/>
    <x v="2"/>
    <n v="46.8"/>
    <n v="140.39999999999998"/>
    <x v="87"/>
    <d v="2025-03-30T00:00:00"/>
    <x v="1"/>
    <x v="4"/>
    <x v="2"/>
    <x v="0"/>
    <x v="10"/>
    <x v="3"/>
    <x v="12"/>
    <x v="1"/>
  </r>
  <r>
    <x v="2395"/>
    <x v="3"/>
    <x v="0"/>
    <n v="61.4"/>
    <n v="61.4"/>
    <x v="87"/>
    <d v="2025-03-30T00:00:00"/>
    <x v="1"/>
    <x v="1"/>
    <x v="0"/>
    <x v="0"/>
    <x v="10"/>
    <x v="3"/>
    <x v="12"/>
    <x v="1"/>
  </r>
  <r>
    <x v="2396"/>
    <x v="15"/>
    <x v="1"/>
    <n v="22.9"/>
    <n v="45.8"/>
    <x v="87"/>
    <d v="2025-03-30T00:00:00"/>
    <x v="1"/>
    <x v="0"/>
    <x v="0"/>
    <x v="0"/>
    <x v="11"/>
    <x v="3"/>
    <x v="12"/>
    <x v="1"/>
  </r>
  <r>
    <x v="2397"/>
    <x v="10"/>
    <x v="1"/>
    <n v="22.1"/>
    <n v="44.2"/>
    <x v="87"/>
    <d v="2025-03-30T00:00:00"/>
    <x v="2"/>
    <x v="4"/>
    <x v="0"/>
    <x v="0"/>
    <x v="11"/>
    <x v="3"/>
    <x v="12"/>
    <x v="2"/>
  </r>
  <r>
    <x v="2398"/>
    <x v="12"/>
    <x v="1"/>
    <n v="31"/>
    <n v="62"/>
    <x v="87"/>
    <d v="2025-03-31T00:00:00"/>
    <x v="2"/>
    <x v="2"/>
    <x v="0"/>
    <x v="0"/>
    <x v="18"/>
    <x v="1"/>
    <x v="12"/>
    <x v="2"/>
  </r>
  <r>
    <x v="2399"/>
    <x v="18"/>
    <x v="1"/>
    <n v="84.2"/>
    <n v="168.4"/>
    <x v="87"/>
    <d v="2025-03-31T00:00:00"/>
    <x v="1"/>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CC1CF82-CD0D-40CD-B8F1-A7FD38C8A116}" name="pivot6" cacheId="6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D63" firstHeaderRow="0" firstDataRow="1" firstDataCol="2"/>
  <pivotFields count="18">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dataField="1" compact="0" outline="0" subtotalTop="0"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dataField="1" compact="0" outline="0" subtotalTop="0" showAll="0">
      <extLst>
        <ext xmlns:x14="http://schemas.microsoft.com/office/spreadsheetml/2009/9/main" uri="{2946ED86-A175-432a-8AC1-64E0C546D7DE}">
          <x14:pivotField fillDownLabels="1"/>
        </ext>
      </extLst>
    </pivotField>
    <pivotField compact="0" numFmtId="15" outline="0" subtotalTop="0"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extLst>
        <ext xmlns:x14="http://schemas.microsoft.com/office/spreadsheetml/2009/9/main" uri="{2946ED86-A175-432a-8AC1-64E0C546D7DE}">
          <x14:pivotField fillDownLabels="1"/>
        </ext>
      </extLst>
    </pivotField>
    <pivotField compact="0" numFmtId="15"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items count="6">
        <item x="0"/>
        <item x="3"/>
        <item x="4"/>
        <item x="2"/>
        <item x="1"/>
        <item t="default"/>
      </items>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axis="axisRow" compact="0" outline="0" subtotalTop="0" showAll="0">
      <items count="2">
        <item x="0"/>
        <item t="default"/>
      </items>
      <extLst>
        <ext xmlns:x14="http://schemas.microsoft.com/office/spreadsheetml/2009/9/main" uri="{2946ED86-A175-432a-8AC1-64E0C546D7DE}">
          <x14:pivotField fillDownLabels="1"/>
        </ext>
      </extLst>
    </pivotField>
    <pivotField axis="axisRow" compact="0" outline="0" subtotalTop="0" showAll="0">
      <items count="59">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 t="default"/>
      </items>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items count="5">
        <item x="2"/>
        <item x="1"/>
        <item x="3"/>
        <item x="0"/>
        <item t="default"/>
      </items>
      <extLst>
        <ext xmlns:x14="http://schemas.microsoft.com/office/spreadsheetml/2009/9/main" uri="{2946ED86-A175-432a-8AC1-64E0C546D7DE}">
          <x14:pivotField fillDownLabels="1"/>
        </ext>
      </extLst>
    </pivotField>
    <pivotField compact="0" outline="0" subtotalTop="0"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items count="15">
        <item x="0"/>
        <item x="1"/>
        <item x="2"/>
        <item x="3"/>
        <item x="4"/>
        <item x="5"/>
        <item x="6"/>
        <item x="7"/>
        <item x="8"/>
        <item x="9"/>
        <item x="10"/>
        <item x="11"/>
        <item x="12"/>
        <item x="13"/>
        <item t="default"/>
      </items>
      <extLst>
        <ext xmlns:x14="http://schemas.microsoft.com/office/spreadsheetml/2009/9/main" uri="{2946ED86-A175-432a-8AC1-64E0C546D7DE}">
          <x14:pivotField fillDownLabels="1"/>
        </ext>
      </extLst>
    </pivotField>
  </pivotFields>
  <rowFields count="2">
    <field x="10"/>
    <field x="11"/>
  </rowFields>
  <rowItems count="60">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t="default">
      <x/>
    </i>
    <i t="grand">
      <x/>
    </i>
  </rowItems>
  <colFields count="1">
    <field x="-2"/>
  </colFields>
  <colItems count="2">
    <i>
      <x/>
    </i>
    <i i="1">
      <x v="1"/>
    </i>
  </colItems>
  <dataFields count="2">
    <dataField name="Sum of Quantity" fld="2" baseField="0" baseItem="0"/>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92A9CD-0B90-4489-B060-FBB203192113}" name="PivotTable15" cacheId="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8" firstHeaderRow="1" firstDataRow="1"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axis="axisRow" showAll="0" sortType="ascending">
      <items count="5">
        <item x="0"/>
        <item x="2"/>
        <item x="1"/>
        <item x="3"/>
        <item t="default"/>
      </items>
    </pivotField>
    <pivotField showAll="0">
      <items count="6">
        <item x="0"/>
        <item x="3"/>
        <item x="4"/>
        <item x="2"/>
        <item x="1"/>
        <item t="default"/>
      </items>
    </pivotField>
    <pivotField showAll="0"/>
    <pivotField showAll="0"/>
    <pivotField showAll="0"/>
    <pivotField showAll="0"/>
    <pivotField showAll="0"/>
    <pivotField showAll="0"/>
    <pivotField showAll="0" defaultSubtota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s>
    </pivotField>
    <pivotField showAll="0" defaultSubtotal="0"/>
    <pivotField showAll="0" defaultSubtotal="0">
      <items count="14">
        <item x="0"/>
        <item x="1"/>
        <item x="2"/>
        <item x="3"/>
        <item x="4"/>
        <item x="5"/>
        <item x="6"/>
        <item x="7"/>
        <item x="8"/>
        <item x="9"/>
        <item x="10"/>
        <item x="11"/>
        <item x="12"/>
        <item x="13"/>
      </items>
    </pivotField>
  </pivotFields>
  <rowFields count="1">
    <field x="7"/>
  </rowFields>
  <rowItems count="5">
    <i>
      <x/>
    </i>
    <i>
      <x v="1"/>
    </i>
    <i>
      <x v="2"/>
    </i>
    <i>
      <x v="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487296A-BBB6-496F-9F86-EDA25F96002B}" name="PivotTable16" cacheId="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axis="axisRow"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pivotField showAll="0"/>
    <pivotField showAll="0"/>
    <pivotField showAll="0"/>
    <pivotField showAll="0"/>
    <pivotField dataField="1" showAll="0"/>
    <pivotField showAll="0"/>
    <pivotField showAll="0" defaultSubtota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s>
    </pivotField>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3">
    <field x="17"/>
    <field x="16"/>
    <field x="5"/>
  </rowFields>
  <rowItems count="4">
    <i>
      <x v="1"/>
    </i>
    <i>
      <x v="2"/>
    </i>
    <i>
      <x v="3"/>
    </i>
    <i t="grand">
      <x/>
    </i>
  </rowItems>
  <colItems count="1">
    <i/>
  </colItems>
  <dataFields count="1">
    <dataField name="Sum of Weeknum"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2EAD0B4-751B-4174-9BD9-78EE06EAA055}" name="Pivot2" cacheId="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1:C25" firstHeaderRow="0" firstDataRow="1" firstDataCol="1"/>
  <pivotFields count="18">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items count="5">
        <item x="0"/>
        <item h="1" x="2"/>
        <item h="1" x="1"/>
        <item h="1" x="3"/>
        <item t="default"/>
      </items>
    </pivotField>
    <pivotField showAll="0">
      <items count="6">
        <item x="0"/>
        <item x="3"/>
        <item x="4"/>
        <item x="2"/>
        <item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pivotField showAll="0">
      <items count="45">
        <item x="0"/>
        <item x="1"/>
        <item x="2"/>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numFmtId="166"/>
  </dataFields>
  <formats count="3">
    <format dxfId="7">
      <pivotArea collapsedLevelsAreSubtotals="1" fieldPosition="0">
        <references count="2">
          <reference field="4294967294" count="1" selected="0">
            <x v="1"/>
          </reference>
          <reference field="13" count="1">
            <x v="0"/>
          </reference>
        </references>
      </pivotArea>
    </format>
    <format dxfId="8">
      <pivotArea outline="0" collapsedLevelsAreSubtotals="1" fieldPosition="0">
        <references count="1">
          <reference field="4294967294" count="1" selected="0">
            <x v="1"/>
          </reference>
        </references>
      </pivotArea>
    </format>
    <format dxfId="9">
      <pivotArea dataOnly="0" labelOnly="1" outline="0" fieldPosition="0">
        <references count="1">
          <reference field="4294967294" count="1">
            <x v="1"/>
          </reference>
        </references>
      </pivotArea>
    </format>
  </formats>
  <chartFormats count="15">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5" format="6">
      <pivotArea type="data" outline="0" fieldPosition="0">
        <references count="2">
          <reference field="4294967294" count="1" selected="0">
            <x v="0"/>
          </reference>
          <reference field="13" count="1" selected="0">
            <x v="4"/>
          </reference>
        </references>
      </pivotArea>
    </chartFormat>
    <chartFormat chart="5" format="7">
      <pivotArea type="data" outline="0" fieldPosition="0">
        <references count="2">
          <reference field="4294967294" count="1" selected="0">
            <x v="0"/>
          </reference>
          <reference field="13" count="1" selected="0">
            <x v="1"/>
          </reference>
        </references>
      </pivotArea>
    </chartFormat>
    <chartFormat chart="5" format="8">
      <pivotArea type="data" outline="0" fieldPosition="0">
        <references count="2">
          <reference field="4294967294" count="1" selected="0">
            <x v="0"/>
          </reference>
          <reference field="13" count="1" selected="0">
            <x v="0"/>
          </reference>
        </references>
      </pivotArea>
    </chartFormat>
    <chartFormat chart="5" format="9">
      <pivotArea type="data" outline="0" fieldPosition="0">
        <references count="2">
          <reference field="4294967294" count="1" selected="0">
            <x v="0"/>
          </reference>
          <reference field="13" count="1" selected="0">
            <x v="2"/>
          </reference>
        </references>
      </pivotArea>
    </chartFormat>
    <chartFormat chart="5" format="10">
      <pivotArea type="data" outline="0" fieldPosition="0">
        <references count="2">
          <reference field="4294967294" count="1" selected="0">
            <x v="0"/>
          </reference>
          <reference field="13" count="1" selected="0">
            <x v="3"/>
          </reference>
        </references>
      </pivotArea>
    </chartFormat>
    <chartFormat chart="5" format="11">
      <pivotArea type="data" outline="0" fieldPosition="0">
        <references count="2">
          <reference field="4294967294" count="1" selected="0">
            <x v="0"/>
          </reference>
          <reference field="13" count="1" selected="0">
            <x v="6"/>
          </reference>
        </references>
      </pivotArea>
    </chartFormat>
    <chartFormat chart="5" format="12">
      <pivotArea type="data" outline="0" fieldPosition="0">
        <references count="2">
          <reference field="4294967294" count="1" selected="0">
            <x v="0"/>
          </reference>
          <reference field="13" count="1" selected="0">
            <x v="5"/>
          </reference>
        </references>
      </pivotArea>
    </chartFormat>
    <chartFormat chart="5" format="13">
      <pivotArea type="data" outline="0" fieldPosition="0">
        <references count="2">
          <reference field="4294967294" count="1" selected="0">
            <x v="0"/>
          </reference>
          <reference field="13" count="1" selected="0">
            <x v="7"/>
          </reference>
        </references>
      </pivotArea>
    </chartFormat>
    <chartFormat chart="5" format="14">
      <pivotArea type="data" outline="0" fieldPosition="0">
        <references count="2">
          <reference field="4294967294" count="1" selected="0">
            <x v="0"/>
          </reference>
          <reference field="13" count="1" selected="0">
            <x v="8"/>
          </reference>
        </references>
      </pivotArea>
    </chartFormat>
    <chartFormat chart="5" format="15">
      <pivotArea type="data" outline="0" fieldPosition="0">
        <references count="2">
          <reference field="4294967294" count="1" selected="0">
            <x v="0"/>
          </reference>
          <reference field="13" count="1" selected="0">
            <x v="9"/>
          </reference>
        </references>
      </pivotArea>
    </chartFormat>
    <chartFormat chart="5" format="16">
      <pivotArea type="data" outline="0" fieldPosition="0">
        <references count="2">
          <reference field="4294967294" count="1" selected="0">
            <x v="0"/>
          </reference>
          <reference field="13" count="1" selected="0">
            <x v="10"/>
          </reference>
        </references>
      </pivotArea>
    </chartFormat>
    <chartFormat chart="5" format="17">
      <pivotArea type="data" outline="0" fieldPosition="0">
        <references count="2">
          <reference field="4294967294" count="1" selected="0">
            <x v="0"/>
          </reference>
          <reference field="13" count="1" selected="0">
            <x v="11"/>
          </reference>
        </references>
      </pivotArea>
    </chartFormat>
    <chartFormat chart="5" format="18">
      <pivotArea type="data" outline="0" fieldPosition="0">
        <references count="2">
          <reference field="4294967294" count="1" selected="0">
            <x v="0"/>
          </reference>
          <reference field="13"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B4B9A2B-B266-4CF3-94FB-A8E9A9D8E15F}" name="pivot1" cacheId="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8">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dataField="1" showAll="0"/>
    <pivotField showAll="0"/>
    <pivotField showAll="0"/>
    <pivotField dataField="1" showAll="0"/>
    <pivotField showAll="0"/>
    <pivotField showAll="0"/>
    <pivotField showAll="0">
      <items count="45">
        <item x="0"/>
        <item x="1"/>
        <item x="2"/>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Average of Days to Deliver" fld="12" subtotal="average" baseField="0" baseItem="0"/>
    <dataField name="Average of Rating C" fld="9" subtotal="average" baseField="0" baseItem="0" numFmtId="166"/>
    <dataField name="Sum of Quantity" fld="2" baseField="0" baseItem="0"/>
    <dataField name="Sum of Amount" fld="4" baseField="0" baseItem="0"/>
  </dataFields>
  <formats count="2">
    <format dxfId="5">
      <pivotArea outline="0" collapsedLevelsAreSubtotals="1" fieldPosition="0">
        <references count="1">
          <reference field="4294967294" count="1" selected="0">
            <x v="2"/>
          </reference>
        </references>
      </pivotArea>
    </format>
    <format dxfId="6">
      <pivotArea dataOnly="0" labelOnly="1" outline="0" fieldPosition="0">
        <references count="1">
          <reference field="4294967294"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E01DADD9-0C6F-4CBC-A90B-586D33CC8067}" sourceName="Order Mode">
  <pivotTables>
    <pivotTable tabId="5" name="Pivot2"/>
    <pivotTable tabId="5" name="pivot1"/>
    <pivotTable tabId="24" name="pivot6"/>
    <pivotTable tabId="25" name="PivotTable15"/>
  </pivotTables>
  <data>
    <tabular pivotCacheId="774241462">
      <items count="5">
        <i x="0" s="1"/>
        <i x="3"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Gender" xr10:uid="{93B49C36-E915-424E-8710-2AA9604A443E}" sourceName="Customer Gender">
  <pivotTables>
    <pivotTable tabId="5" name="Pivot2"/>
  </pivotTables>
  <data>
    <tabular pivotCacheId="774241462">
      <items count="4">
        <i x="0" s="1"/>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663E31DF-7D42-42AB-896F-E7194D76AF89}" sourceName="Gender Value">
  <pivotTables>
    <pivotTable tabId="24" name="pivot6"/>
  </pivotTables>
  <data>
    <tabular pivotCacheId="774241462">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7BB62EC4-4F17-4BCC-906F-5766E4C9E5C8}" cache="Slicer_Order_Mode" caption="Order Mode" rowHeight="257175"/>
  <slicer name="Gender Value" xr10:uid="{CCF81613-5572-4668-9E8E-6C17FA46B03F}" cache="Slicer_Gender_Value" caption="Gender Value"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Gender" xr10:uid="{CED452DA-DB9C-48E5-A371-D49114CD6F9B}" cache="Slicer_Customer_Gender" caption="Customer Gender"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14"/>
    <tableColumn id="7" xr3:uid="{43BB5DBF-46E1-4185-80C0-4361F55A385C}" name="Ship Date" dataDxfId="13"/>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12">
      <calculatedColumnFormula>orders[[#This Row],[Ship Date]]-orders[[#This Row],[Order Date]]</calculatedColumnFormula>
    </tableColumn>
    <tableColumn id="12" xr3:uid="{B071C0DA-87A9-4516-B4D9-4F5B7D3FF44A}" name="Weeknum" dataDxfId="11">
      <calculatedColumnFormula>WEEKNUM(orders[[#This Row],[Order Date]])</calculatedColumnFormula>
    </tableColumn>
    <tableColumn id="13" xr3:uid="{B8EA9E28-7541-4E76-9935-C26438661A18}" name="Gender Value" dataDxfId="10">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VivaCalif">
      <a:dk1>
        <a:sysClr val="windowText" lastClr="000000"/>
      </a:dk1>
      <a:lt1>
        <a:sysClr val="window" lastClr="FFFFFF"/>
      </a:lt1>
      <a:dk2>
        <a:srgbClr val="0E2841"/>
      </a:dk2>
      <a:lt2>
        <a:srgbClr val="E8E8E8"/>
      </a:lt2>
      <a:accent1>
        <a:srgbClr val="9FBFAD"/>
      </a:accent1>
      <a:accent2>
        <a:srgbClr val="748C76"/>
      </a:accent2>
      <a:accent3>
        <a:srgbClr val="505947"/>
      </a:accent3>
      <a:accent4>
        <a:srgbClr val="BF7F5A"/>
      </a:accent4>
      <a:accent5>
        <a:srgbClr val="BF3939"/>
      </a:accent5>
      <a:accent6>
        <a:srgbClr val="4887E6"/>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microsoft.com/office/2007/relationships/slicer" Target="../slicers/slicer2.xml"/><Relationship Id="rId4"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hyperlink" Target="https://chandoo.org/wp/excel-school-program/" TargetMode="External"/><Relationship Id="rId1" Type="http://schemas.openxmlformats.org/officeDocument/2006/relationships/hyperlink" Target="https://youtu.be/l5qkg8gzY6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D8175-5115-4B6A-B81D-A79C0C7EE7EC}">
  <dimension ref="A1"/>
  <sheetViews>
    <sheetView tabSelected="1" zoomScale="49" zoomScaleNormal="98" workbookViewId="0">
      <selection activeCell="U5" sqref="U5"/>
    </sheetView>
  </sheetViews>
  <sheetFormatPr defaultRowHeight="15" x14ac:dyDescent="0.25"/>
  <cols>
    <col min="1" max="1" width="1.85546875" customWidth="1"/>
    <col min="2" max="2" width="20" customWidth="1"/>
    <col min="3" max="3" width="8.710937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DCF64-9E80-41D3-930D-A535E0F08B15}">
  <dimension ref="A3:I63"/>
  <sheetViews>
    <sheetView zoomScale="84" workbookViewId="0">
      <selection activeCell="B7" sqref="B7"/>
    </sheetView>
  </sheetViews>
  <sheetFormatPr defaultRowHeight="15" x14ac:dyDescent="0.25"/>
  <cols>
    <col min="1" max="1" width="11.28515625" bestFit="1" customWidth="1"/>
    <col min="2" max="2" width="22" bestFit="1" customWidth="1"/>
    <col min="3" max="3" width="15.5703125" bestFit="1" customWidth="1"/>
    <col min="4" max="4" width="14.85546875" bestFit="1" customWidth="1"/>
  </cols>
  <sheetData>
    <row r="3" spans="1:9" x14ac:dyDescent="0.25">
      <c r="A3" s="14" t="s">
        <v>10</v>
      </c>
      <c r="B3" s="14" t="s">
        <v>11</v>
      </c>
      <c r="C3" t="s">
        <v>2553</v>
      </c>
      <c r="D3" t="s">
        <v>2554</v>
      </c>
      <c r="F3" s="13" t="s">
        <v>10</v>
      </c>
      <c r="G3" s="13" t="s">
        <v>82</v>
      </c>
      <c r="I3" s="13" t="s">
        <v>2554</v>
      </c>
    </row>
    <row r="4" spans="1:9" x14ac:dyDescent="0.25">
      <c r="A4" t="s">
        <v>19</v>
      </c>
      <c r="B4" t="s">
        <v>115</v>
      </c>
      <c r="C4" s="12">
        <v>579</v>
      </c>
      <c r="D4" s="12">
        <v>31884.999999999996</v>
      </c>
      <c r="F4" s="18" t="s">
        <v>19</v>
      </c>
      <c r="G4" t="s">
        <v>115</v>
      </c>
      <c r="I4" s="12">
        <v>31884.999999999996</v>
      </c>
    </row>
    <row r="5" spans="1:9" x14ac:dyDescent="0.25">
      <c r="A5" t="s">
        <v>19</v>
      </c>
      <c r="B5" t="s">
        <v>20</v>
      </c>
      <c r="C5" s="12">
        <v>1</v>
      </c>
      <c r="D5" s="12">
        <v>10.9</v>
      </c>
      <c r="F5" s="18" t="s">
        <v>19</v>
      </c>
      <c r="G5" t="s">
        <v>20</v>
      </c>
      <c r="I5" s="12">
        <v>10.9</v>
      </c>
    </row>
    <row r="6" spans="1:9" x14ac:dyDescent="0.25">
      <c r="A6" t="s">
        <v>19</v>
      </c>
      <c r="B6" t="s">
        <v>641</v>
      </c>
      <c r="C6" s="12">
        <v>9</v>
      </c>
      <c r="D6" s="12">
        <v>800.3</v>
      </c>
      <c r="F6" s="18" t="s">
        <v>19</v>
      </c>
      <c r="G6" t="s">
        <v>641</v>
      </c>
      <c r="I6" s="12">
        <v>800.3</v>
      </c>
    </row>
    <row r="7" spans="1:9" x14ac:dyDescent="0.25">
      <c r="A7" t="s">
        <v>19</v>
      </c>
      <c r="B7" t="s">
        <v>967</v>
      </c>
      <c r="C7" s="12">
        <v>35</v>
      </c>
      <c r="D7" s="12">
        <v>1062.5999999999999</v>
      </c>
      <c r="F7" s="18" t="s">
        <v>19</v>
      </c>
      <c r="G7" t="s">
        <v>967</v>
      </c>
      <c r="I7" s="12">
        <v>1062.5999999999999</v>
      </c>
    </row>
    <row r="8" spans="1:9" x14ac:dyDescent="0.25">
      <c r="A8" t="s">
        <v>19</v>
      </c>
      <c r="B8" t="s">
        <v>84</v>
      </c>
      <c r="C8" s="12">
        <v>12</v>
      </c>
      <c r="D8" s="12">
        <v>326.20000000000005</v>
      </c>
      <c r="F8" s="18" t="s">
        <v>19</v>
      </c>
      <c r="G8" t="s">
        <v>84</v>
      </c>
      <c r="I8" s="12">
        <v>326.20000000000005</v>
      </c>
    </row>
    <row r="9" spans="1:9" x14ac:dyDescent="0.25">
      <c r="A9" t="s">
        <v>19</v>
      </c>
      <c r="B9" t="s">
        <v>1383</v>
      </c>
      <c r="C9" s="12">
        <v>4</v>
      </c>
      <c r="D9" s="12">
        <v>167.5</v>
      </c>
      <c r="F9" s="18" t="s">
        <v>19</v>
      </c>
      <c r="G9" t="s">
        <v>1383</v>
      </c>
      <c r="I9" s="12">
        <v>167.5</v>
      </c>
    </row>
    <row r="10" spans="1:9" x14ac:dyDescent="0.25">
      <c r="A10" t="s">
        <v>19</v>
      </c>
      <c r="B10" t="s">
        <v>24</v>
      </c>
      <c r="C10" s="12">
        <v>341</v>
      </c>
      <c r="D10" s="12">
        <v>16168.7</v>
      </c>
      <c r="F10" s="18" t="s">
        <v>19</v>
      </c>
      <c r="G10" t="s">
        <v>24</v>
      </c>
      <c r="I10" s="12">
        <v>16168.7</v>
      </c>
    </row>
    <row r="11" spans="1:9" x14ac:dyDescent="0.25">
      <c r="A11" t="s">
        <v>19</v>
      </c>
      <c r="B11" t="s">
        <v>2204</v>
      </c>
      <c r="C11" s="12">
        <v>13</v>
      </c>
      <c r="D11" s="12">
        <v>322.40000000000003</v>
      </c>
      <c r="F11" s="18" t="s">
        <v>19</v>
      </c>
      <c r="G11" t="s">
        <v>2204</v>
      </c>
      <c r="I11" s="12">
        <v>322.40000000000003</v>
      </c>
    </row>
    <row r="12" spans="1:9" x14ac:dyDescent="0.25">
      <c r="A12" t="s">
        <v>19</v>
      </c>
      <c r="B12" t="s">
        <v>437</v>
      </c>
      <c r="C12" s="12">
        <v>31</v>
      </c>
      <c r="D12" s="12">
        <v>2092.8000000000002</v>
      </c>
      <c r="F12" s="18" t="s">
        <v>19</v>
      </c>
      <c r="G12" t="s">
        <v>437</v>
      </c>
      <c r="I12" s="12">
        <v>2092.8000000000002</v>
      </c>
    </row>
    <row r="13" spans="1:9" x14ac:dyDescent="0.25">
      <c r="A13" t="s">
        <v>19</v>
      </c>
      <c r="B13" t="s">
        <v>28</v>
      </c>
      <c r="C13" s="12">
        <v>279</v>
      </c>
      <c r="D13" s="12">
        <v>12662.500000000002</v>
      </c>
      <c r="F13" s="18" t="s">
        <v>19</v>
      </c>
      <c r="G13" t="s">
        <v>28</v>
      </c>
      <c r="I13" s="12">
        <v>12662.500000000002</v>
      </c>
    </row>
    <row r="14" spans="1:9" x14ac:dyDescent="0.25">
      <c r="A14" t="s">
        <v>19</v>
      </c>
      <c r="B14" t="s">
        <v>208</v>
      </c>
      <c r="C14" s="12">
        <v>9</v>
      </c>
      <c r="D14" s="12">
        <v>343.2</v>
      </c>
      <c r="F14" s="18" t="s">
        <v>19</v>
      </c>
      <c r="G14" t="s">
        <v>208</v>
      </c>
      <c r="I14" s="12">
        <v>343.2</v>
      </c>
    </row>
    <row r="15" spans="1:9" x14ac:dyDescent="0.25">
      <c r="A15" t="s">
        <v>19</v>
      </c>
      <c r="B15" t="s">
        <v>587</v>
      </c>
      <c r="C15" s="12">
        <v>49</v>
      </c>
      <c r="D15" s="12">
        <v>2188.2999999999997</v>
      </c>
      <c r="F15" s="18" t="s">
        <v>19</v>
      </c>
      <c r="G15" t="s">
        <v>587</v>
      </c>
      <c r="I15" s="12">
        <v>2188.2999999999997</v>
      </c>
    </row>
    <row r="16" spans="1:9" x14ac:dyDescent="0.25">
      <c r="A16" t="s">
        <v>19</v>
      </c>
      <c r="B16" t="s">
        <v>331</v>
      </c>
      <c r="C16" s="12">
        <v>59</v>
      </c>
      <c r="D16" s="12">
        <v>2661.5999999999995</v>
      </c>
      <c r="F16" s="18" t="s">
        <v>19</v>
      </c>
      <c r="G16" t="s">
        <v>331</v>
      </c>
      <c r="I16" s="12">
        <v>2661.5999999999995</v>
      </c>
    </row>
    <row r="17" spans="1:9" x14ac:dyDescent="0.25">
      <c r="A17" t="s">
        <v>19</v>
      </c>
      <c r="B17" t="s">
        <v>86</v>
      </c>
      <c r="C17" s="12">
        <v>8</v>
      </c>
      <c r="D17" s="12">
        <v>887.5</v>
      </c>
      <c r="F17" s="18" t="s">
        <v>19</v>
      </c>
      <c r="G17" t="s">
        <v>86</v>
      </c>
      <c r="I17" s="12">
        <v>887.5</v>
      </c>
    </row>
    <row r="18" spans="1:9" x14ac:dyDescent="0.25">
      <c r="A18" t="s">
        <v>19</v>
      </c>
      <c r="B18" t="s">
        <v>147</v>
      </c>
      <c r="C18" s="12">
        <v>222</v>
      </c>
      <c r="D18" s="12">
        <v>11354.199999999993</v>
      </c>
      <c r="F18" s="18" t="s">
        <v>19</v>
      </c>
      <c r="G18" t="s">
        <v>147</v>
      </c>
      <c r="I18" s="12">
        <v>11354.199999999993</v>
      </c>
    </row>
    <row r="19" spans="1:9" x14ac:dyDescent="0.25">
      <c r="A19" t="s">
        <v>19</v>
      </c>
      <c r="B19" t="s">
        <v>334</v>
      </c>
      <c r="C19" s="12">
        <v>36</v>
      </c>
      <c r="D19" s="12">
        <v>1558.4</v>
      </c>
      <c r="F19" s="18" t="s">
        <v>19</v>
      </c>
      <c r="G19" t="s">
        <v>334</v>
      </c>
      <c r="I19" s="12">
        <v>1558.4</v>
      </c>
    </row>
    <row r="20" spans="1:9" x14ac:dyDescent="0.25">
      <c r="A20" t="s">
        <v>19</v>
      </c>
      <c r="B20" t="s">
        <v>949</v>
      </c>
      <c r="C20" s="12">
        <v>30</v>
      </c>
      <c r="D20" s="12">
        <v>2223.9</v>
      </c>
      <c r="F20" s="18" t="s">
        <v>19</v>
      </c>
      <c r="G20" t="s">
        <v>949</v>
      </c>
      <c r="I20" s="12">
        <v>2223.9</v>
      </c>
    </row>
    <row r="21" spans="1:9" x14ac:dyDescent="0.25">
      <c r="A21" t="s">
        <v>19</v>
      </c>
      <c r="B21" t="s">
        <v>1426</v>
      </c>
      <c r="C21" s="12">
        <v>1</v>
      </c>
      <c r="D21" s="12">
        <v>26.2</v>
      </c>
      <c r="F21" s="18" t="s">
        <v>19</v>
      </c>
      <c r="G21" t="s">
        <v>1426</v>
      </c>
      <c r="I21" s="12">
        <v>26.2</v>
      </c>
    </row>
    <row r="22" spans="1:9" x14ac:dyDescent="0.25">
      <c r="A22" t="s">
        <v>19</v>
      </c>
      <c r="B22" t="s">
        <v>33</v>
      </c>
      <c r="C22" s="12">
        <v>3991</v>
      </c>
      <c r="D22" s="12">
        <v>215551.19999999981</v>
      </c>
      <c r="F22" s="18" t="s">
        <v>19</v>
      </c>
      <c r="G22" t="s">
        <v>33</v>
      </c>
      <c r="I22" s="12">
        <v>215551.19999999981</v>
      </c>
    </row>
    <row r="23" spans="1:9" x14ac:dyDescent="0.25">
      <c r="A23" t="s">
        <v>19</v>
      </c>
      <c r="B23" t="s">
        <v>364</v>
      </c>
      <c r="C23" s="12">
        <v>45</v>
      </c>
      <c r="D23" s="12">
        <v>2687.3999999999996</v>
      </c>
      <c r="F23" s="18" t="s">
        <v>19</v>
      </c>
      <c r="G23" t="s">
        <v>364</v>
      </c>
      <c r="I23" s="12">
        <v>2687.3999999999996</v>
      </c>
    </row>
    <row r="24" spans="1:9" x14ac:dyDescent="0.25">
      <c r="A24" t="s">
        <v>19</v>
      </c>
      <c r="B24" t="s">
        <v>545</v>
      </c>
      <c r="C24" s="12">
        <v>39</v>
      </c>
      <c r="D24" s="12">
        <v>1463.3000000000002</v>
      </c>
      <c r="F24" s="18" t="s">
        <v>19</v>
      </c>
      <c r="G24" t="s">
        <v>545</v>
      </c>
      <c r="I24" s="12">
        <v>1463.3000000000002</v>
      </c>
    </row>
    <row r="25" spans="1:9" x14ac:dyDescent="0.25">
      <c r="A25" t="s">
        <v>19</v>
      </c>
      <c r="B25" t="s">
        <v>416</v>
      </c>
      <c r="C25" s="12">
        <v>6</v>
      </c>
      <c r="D25" s="12">
        <v>445.79999999999995</v>
      </c>
      <c r="F25" s="18" t="s">
        <v>19</v>
      </c>
      <c r="G25" t="s">
        <v>416</v>
      </c>
      <c r="I25" s="12">
        <v>445.79999999999995</v>
      </c>
    </row>
    <row r="26" spans="1:9" x14ac:dyDescent="0.25">
      <c r="A26" t="s">
        <v>19</v>
      </c>
      <c r="B26" t="s">
        <v>258</v>
      </c>
      <c r="C26" s="12">
        <v>9</v>
      </c>
      <c r="D26" s="12">
        <v>273.59999999999997</v>
      </c>
      <c r="F26" s="18" t="s">
        <v>19</v>
      </c>
      <c r="G26" t="s">
        <v>258</v>
      </c>
      <c r="I26" s="12">
        <v>273.59999999999997</v>
      </c>
    </row>
    <row r="27" spans="1:9" x14ac:dyDescent="0.25">
      <c r="A27" t="s">
        <v>19</v>
      </c>
      <c r="B27" t="s">
        <v>186</v>
      </c>
      <c r="C27" s="12">
        <v>60</v>
      </c>
      <c r="D27" s="12">
        <v>2690.4</v>
      </c>
      <c r="F27" s="18" t="s">
        <v>19</v>
      </c>
      <c r="G27" t="s">
        <v>186</v>
      </c>
      <c r="I27" s="12">
        <v>2690.4</v>
      </c>
    </row>
    <row r="28" spans="1:9" x14ac:dyDescent="0.25">
      <c r="A28" t="s">
        <v>19</v>
      </c>
      <c r="B28" t="s">
        <v>392</v>
      </c>
      <c r="C28" s="12">
        <v>2</v>
      </c>
      <c r="D28" s="12">
        <v>28.4</v>
      </c>
      <c r="F28" s="18" t="s">
        <v>19</v>
      </c>
      <c r="G28" t="s">
        <v>392</v>
      </c>
      <c r="I28" s="12">
        <v>28.4</v>
      </c>
    </row>
    <row r="29" spans="1:9" x14ac:dyDescent="0.25">
      <c r="A29" t="s">
        <v>19</v>
      </c>
      <c r="B29" t="s">
        <v>670</v>
      </c>
      <c r="C29" s="12">
        <v>4</v>
      </c>
      <c r="D29" s="12">
        <v>204.8</v>
      </c>
      <c r="F29" s="18" t="s">
        <v>19</v>
      </c>
      <c r="G29" t="s">
        <v>670</v>
      </c>
      <c r="I29" s="12">
        <v>204.8</v>
      </c>
    </row>
    <row r="30" spans="1:9" x14ac:dyDescent="0.25">
      <c r="A30" t="s">
        <v>19</v>
      </c>
      <c r="B30" t="s">
        <v>802</v>
      </c>
      <c r="C30" s="12">
        <v>31</v>
      </c>
      <c r="D30" s="12">
        <v>1607.8999999999999</v>
      </c>
      <c r="F30" s="18" t="s">
        <v>19</v>
      </c>
      <c r="G30" t="s">
        <v>802</v>
      </c>
      <c r="I30" s="12">
        <v>1607.8999999999999</v>
      </c>
    </row>
    <row r="31" spans="1:9" x14ac:dyDescent="0.25">
      <c r="A31" t="s">
        <v>19</v>
      </c>
      <c r="B31" t="s">
        <v>98</v>
      </c>
      <c r="C31" s="12">
        <v>88</v>
      </c>
      <c r="D31" s="12">
        <v>6444.9</v>
      </c>
      <c r="F31" s="18" t="s">
        <v>19</v>
      </c>
      <c r="G31" t="s">
        <v>98</v>
      </c>
      <c r="I31" s="12">
        <v>6444.9</v>
      </c>
    </row>
    <row r="32" spans="1:9" x14ac:dyDescent="0.25">
      <c r="A32" t="s">
        <v>19</v>
      </c>
      <c r="B32" t="s">
        <v>49</v>
      </c>
      <c r="C32" s="12">
        <v>25</v>
      </c>
      <c r="D32" s="12">
        <v>1809.3</v>
      </c>
      <c r="F32" s="18" t="s">
        <v>19</v>
      </c>
      <c r="G32" t="s">
        <v>49</v>
      </c>
      <c r="I32" s="12">
        <v>1809.3</v>
      </c>
    </row>
    <row r="33" spans="1:9" x14ac:dyDescent="0.25">
      <c r="A33" t="s">
        <v>19</v>
      </c>
      <c r="B33" t="s">
        <v>188</v>
      </c>
      <c r="C33" s="12">
        <v>178</v>
      </c>
      <c r="D33" s="12">
        <v>9680.399999999996</v>
      </c>
      <c r="F33" s="18" t="s">
        <v>19</v>
      </c>
      <c r="G33" t="s">
        <v>188</v>
      </c>
      <c r="I33" s="12">
        <v>9680.399999999996</v>
      </c>
    </row>
    <row r="34" spans="1:9" x14ac:dyDescent="0.25">
      <c r="A34" t="s">
        <v>19</v>
      </c>
      <c r="B34" t="s">
        <v>52</v>
      </c>
      <c r="C34" s="12">
        <v>141</v>
      </c>
      <c r="D34" s="12">
        <v>9414.7999999999993</v>
      </c>
      <c r="F34" s="18" t="s">
        <v>19</v>
      </c>
      <c r="G34" t="s">
        <v>52</v>
      </c>
      <c r="I34" s="12">
        <v>9414.7999999999993</v>
      </c>
    </row>
    <row r="35" spans="1:9" x14ac:dyDescent="0.25">
      <c r="A35" t="s">
        <v>19</v>
      </c>
      <c r="B35" t="s">
        <v>338</v>
      </c>
      <c r="C35" s="12">
        <v>6</v>
      </c>
      <c r="D35" s="12">
        <v>206.1</v>
      </c>
      <c r="F35" s="18" t="s">
        <v>19</v>
      </c>
      <c r="G35" t="s">
        <v>338</v>
      </c>
      <c r="I35" s="12">
        <v>206.1</v>
      </c>
    </row>
    <row r="36" spans="1:9" x14ac:dyDescent="0.25">
      <c r="A36" t="s">
        <v>19</v>
      </c>
      <c r="B36" t="s">
        <v>158</v>
      </c>
      <c r="C36" s="12">
        <v>178</v>
      </c>
      <c r="D36" s="12">
        <v>7691.3</v>
      </c>
      <c r="F36" s="18" t="s">
        <v>19</v>
      </c>
      <c r="G36" t="s">
        <v>158</v>
      </c>
      <c r="I36" s="12">
        <v>7691.3</v>
      </c>
    </row>
    <row r="37" spans="1:9" x14ac:dyDescent="0.25">
      <c r="A37" t="s">
        <v>19</v>
      </c>
      <c r="B37" t="s">
        <v>55</v>
      </c>
      <c r="C37" s="12">
        <v>699</v>
      </c>
      <c r="D37" s="12">
        <v>37784.900000000016</v>
      </c>
      <c r="F37" s="18" t="s">
        <v>19</v>
      </c>
      <c r="G37" t="s">
        <v>55</v>
      </c>
      <c r="I37" s="12">
        <v>37784.900000000016</v>
      </c>
    </row>
    <row r="38" spans="1:9" x14ac:dyDescent="0.25">
      <c r="A38" t="s">
        <v>19</v>
      </c>
      <c r="B38" t="s">
        <v>342</v>
      </c>
      <c r="C38" s="12">
        <v>23</v>
      </c>
      <c r="D38" s="12">
        <v>1129.7</v>
      </c>
      <c r="F38" s="18" t="s">
        <v>19</v>
      </c>
      <c r="G38" t="s">
        <v>342</v>
      </c>
      <c r="I38" s="12">
        <v>1129.7</v>
      </c>
    </row>
    <row r="39" spans="1:9" x14ac:dyDescent="0.25">
      <c r="A39" t="s">
        <v>19</v>
      </c>
      <c r="B39" t="s">
        <v>59</v>
      </c>
      <c r="C39" s="12">
        <v>356</v>
      </c>
      <c r="D39" s="12">
        <v>20988.9</v>
      </c>
      <c r="F39" s="18" t="s">
        <v>19</v>
      </c>
      <c r="G39" t="s">
        <v>59</v>
      </c>
      <c r="I39" s="12">
        <v>20988.9</v>
      </c>
    </row>
    <row r="40" spans="1:9" x14ac:dyDescent="0.25">
      <c r="A40" t="s">
        <v>19</v>
      </c>
      <c r="B40" t="s">
        <v>62</v>
      </c>
      <c r="C40" s="12">
        <v>1768</v>
      </c>
      <c r="D40" s="12">
        <v>98367.099999999977</v>
      </c>
      <c r="F40" s="18" t="s">
        <v>19</v>
      </c>
      <c r="G40" t="s">
        <v>62</v>
      </c>
      <c r="I40" s="12">
        <v>98367.099999999977</v>
      </c>
    </row>
    <row r="41" spans="1:9" x14ac:dyDescent="0.25">
      <c r="A41" t="s">
        <v>19</v>
      </c>
      <c r="B41" t="s">
        <v>103</v>
      </c>
      <c r="C41" s="12">
        <v>307</v>
      </c>
      <c r="D41" s="12">
        <v>21911.9</v>
      </c>
      <c r="F41" s="18" t="s">
        <v>19</v>
      </c>
      <c r="G41" t="s">
        <v>103</v>
      </c>
      <c r="I41" s="12">
        <v>21911.9</v>
      </c>
    </row>
    <row r="42" spans="1:9" x14ac:dyDescent="0.25">
      <c r="A42" t="s">
        <v>19</v>
      </c>
      <c r="B42" t="s">
        <v>201</v>
      </c>
      <c r="C42" s="12">
        <v>117</v>
      </c>
      <c r="D42" s="12">
        <v>5441.2</v>
      </c>
      <c r="F42" s="18" t="s">
        <v>19</v>
      </c>
      <c r="G42" t="s">
        <v>201</v>
      </c>
      <c r="I42" s="12">
        <v>5441.2</v>
      </c>
    </row>
    <row r="43" spans="1:9" x14ac:dyDescent="0.25">
      <c r="A43" t="s">
        <v>19</v>
      </c>
      <c r="B43" t="s">
        <v>429</v>
      </c>
      <c r="C43" s="12">
        <v>13</v>
      </c>
      <c r="D43" s="12">
        <v>392.8</v>
      </c>
      <c r="F43" s="18" t="s">
        <v>19</v>
      </c>
      <c r="G43" t="s">
        <v>429</v>
      </c>
      <c r="I43" s="12">
        <v>392.8</v>
      </c>
    </row>
    <row r="44" spans="1:9" x14ac:dyDescent="0.25">
      <c r="A44" t="s">
        <v>19</v>
      </c>
      <c r="B44" t="s">
        <v>72</v>
      </c>
      <c r="C44" s="12">
        <v>364</v>
      </c>
      <c r="D44" s="12">
        <v>16172.000000000005</v>
      </c>
      <c r="F44" s="18" t="s">
        <v>19</v>
      </c>
      <c r="G44" t="s">
        <v>72</v>
      </c>
      <c r="I44" s="12">
        <v>16172.000000000005</v>
      </c>
    </row>
    <row r="45" spans="1:9" x14ac:dyDescent="0.25">
      <c r="A45" t="s">
        <v>19</v>
      </c>
      <c r="B45" t="s">
        <v>74</v>
      </c>
      <c r="C45" s="12">
        <v>95</v>
      </c>
      <c r="D45" s="12">
        <v>4334.9999999999991</v>
      </c>
      <c r="F45" s="18" t="s">
        <v>19</v>
      </c>
      <c r="G45" t="s">
        <v>74</v>
      </c>
      <c r="I45" s="12">
        <v>4334.9999999999991</v>
      </c>
    </row>
    <row r="46" spans="1:9" x14ac:dyDescent="0.25">
      <c r="A46" t="s">
        <v>19</v>
      </c>
      <c r="B46" t="s">
        <v>77</v>
      </c>
      <c r="C46" s="12">
        <v>737</v>
      </c>
      <c r="D46" s="12">
        <v>37449.000000000007</v>
      </c>
      <c r="F46" s="18" t="s">
        <v>19</v>
      </c>
      <c r="G46" t="s">
        <v>77</v>
      </c>
      <c r="I46" s="12">
        <v>37449.000000000007</v>
      </c>
    </row>
    <row r="47" spans="1:9" x14ac:dyDescent="0.25">
      <c r="A47" t="s">
        <v>19</v>
      </c>
      <c r="B47" t="s">
        <v>309</v>
      </c>
      <c r="C47" s="12">
        <v>39</v>
      </c>
      <c r="D47" s="12">
        <v>2447.5</v>
      </c>
      <c r="F47" s="18" t="s">
        <v>19</v>
      </c>
      <c r="G47" t="s">
        <v>309</v>
      </c>
      <c r="I47" s="12">
        <v>2447.5</v>
      </c>
    </row>
    <row r="48" spans="1:9" x14ac:dyDescent="0.25">
      <c r="A48" t="s">
        <v>19</v>
      </c>
      <c r="B48" t="s">
        <v>1116</v>
      </c>
      <c r="C48" s="12">
        <v>56</v>
      </c>
      <c r="D48" s="12">
        <v>3391.1</v>
      </c>
      <c r="F48" s="18" t="s">
        <v>19</v>
      </c>
      <c r="G48" t="s">
        <v>1116</v>
      </c>
      <c r="I48" s="12">
        <v>3391.1</v>
      </c>
    </row>
    <row r="49" spans="1:9" x14ac:dyDescent="0.25">
      <c r="A49" t="s">
        <v>19</v>
      </c>
      <c r="B49" t="s">
        <v>700</v>
      </c>
      <c r="C49" s="12">
        <v>2</v>
      </c>
      <c r="D49" s="12">
        <v>30.8</v>
      </c>
      <c r="F49" s="18" t="s">
        <v>19</v>
      </c>
      <c r="G49" t="s">
        <v>700</v>
      </c>
      <c r="I49" s="12">
        <v>30.8</v>
      </c>
    </row>
    <row r="50" spans="1:9" x14ac:dyDescent="0.25">
      <c r="A50" t="s">
        <v>19</v>
      </c>
      <c r="B50" t="s">
        <v>268</v>
      </c>
      <c r="C50" s="12">
        <v>8</v>
      </c>
      <c r="D50" s="12">
        <v>332.3</v>
      </c>
      <c r="F50" s="18" t="s">
        <v>19</v>
      </c>
      <c r="G50" t="s">
        <v>268</v>
      </c>
      <c r="I50" s="12">
        <v>332.3</v>
      </c>
    </row>
    <row r="51" spans="1:9" x14ac:dyDescent="0.25">
      <c r="A51" t="s">
        <v>19</v>
      </c>
      <c r="B51" t="s">
        <v>377</v>
      </c>
      <c r="C51" s="12">
        <v>52</v>
      </c>
      <c r="D51" s="12">
        <v>3175.9999999999995</v>
      </c>
      <c r="F51" s="18" t="s">
        <v>19</v>
      </c>
      <c r="G51" t="s">
        <v>377</v>
      </c>
      <c r="I51" s="12">
        <v>3175.9999999999995</v>
      </c>
    </row>
    <row r="52" spans="1:9" x14ac:dyDescent="0.25">
      <c r="A52" t="s">
        <v>19</v>
      </c>
      <c r="B52" t="s">
        <v>108</v>
      </c>
      <c r="C52" s="12">
        <v>295</v>
      </c>
      <c r="D52" s="12">
        <v>20939.600000000002</v>
      </c>
      <c r="F52" s="18" t="s">
        <v>19</v>
      </c>
      <c r="G52" t="s">
        <v>108</v>
      </c>
      <c r="I52" s="12">
        <v>20939.600000000002</v>
      </c>
    </row>
    <row r="53" spans="1:9" x14ac:dyDescent="0.25">
      <c r="A53" t="s">
        <v>19</v>
      </c>
      <c r="B53" t="s">
        <v>110</v>
      </c>
      <c r="C53" s="12">
        <v>195</v>
      </c>
      <c r="D53" s="12">
        <v>10185.899999999996</v>
      </c>
      <c r="F53" s="18" t="s">
        <v>19</v>
      </c>
      <c r="G53" t="s">
        <v>110</v>
      </c>
      <c r="I53" s="12">
        <v>10185.899999999996</v>
      </c>
    </row>
    <row r="54" spans="1:9" x14ac:dyDescent="0.25">
      <c r="A54" t="s">
        <v>19</v>
      </c>
      <c r="B54" t="s">
        <v>292</v>
      </c>
      <c r="C54" s="12">
        <v>20</v>
      </c>
      <c r="D54" s="12">
        <v>958.7</v>
      </c>
      <c r="F54" s="18" t="s">
        <v>19</v>
      </c>
      <c r="G54" t="s">
        <v>292</v>
      </c>
      <c r="I54" s="12">
        <v>958.7</v>
      </c>
    </row>
    <row r="55" spans="1:9" x14ac:dyDescent="0.25">
      <c r="A55" t="s">
        <v>19</v>
      </c>
      <c r="B55" t="s">
        <v>79</v>
      </c>
      <c r="C55" s="12">
        <v>6</v>
      </c>
      <c r="D55" s="12">
        <v>323</v>
      </c>
      <c r="F55" s="18" t="s">
        <v>19</v>
      </c>
      <c r="G55" t="s">
        <v>79</v>
      </c>
      <c r="I55" s="12">
        <v>323</v>
      </c>
    </row>
    <row r="56" spans="1:9" x14ac:dyDescent="0.25">
      <c r="A56" t="s">
        <v>19</v>
      </c>
      <c r="B56" t="s">
        <v>608</v>
      </c>
      <c r="C56" s="12">
        <v>5</v>
      </c>
      <c r="D56" s="12">
        <v>167.70000000000002</v>
      </c>
      <c r="F56" s="18" t="s">
        <v>19</v>
      </c>
      <c r="G56" t="s">
        <v>608</v>
      </c>
      <c r="I56" s="12">
        <v>167.70000000000002</v>
      </c>
    </row>
    <row r="57" spans="1:9" x14ac:dyDescent="0.25">
      <c r="A57" t="s">
        <v>19</v>
      </c>
      <c r="B57" t="s">
        <v>113</v>
      </c>
      <c r="C57" s="12">
        <v>94</v>
      </c>
      <c r="D57" s="12">
        <v>3978.5</v>
      </c>
      <c r="F57" s="18" t="s">
        <v>19</v>
      </c>
      <c r="G57" t="s">
        <v>113</v>
      </c>
      <c r="I57" s="12">
        <v>3978.5</v>
      </c>
    </row>
    <row r="58" spans="1:9" x14ac:dyDescent="0.25">
      <c r="A58" t="s">
        <v>19</v>
      </c>
      <c r="B58" t="s">
        <v>997</v>
      </c>
      <c r="C58" s="12">
        <v>28</v>
      </c>
      <c r="D58" s="12">
        <v>1405</v>
      </c>
      <c r="F58" s="18" t="s">
        <v>19</v>
      </c>
      <c r="G58" t="s">
        <v>997</v>
      </c>
      <c r="I58" s="12">
        <v>1405</v>
      </c>
    </row>
    <row r="59" spans="1:9" x14ac:dyDescent="0.25">
      <c r="A59" t="s">
        <v>19</v>
      </c>
      <c r="B59" t="s">
        <v>82</v>
      </c>
      <c r="C59" s="12">
        <v>179</v>
      </c>
      <c r="D59" s="12">
        <v>9869.0999999999985</v>
      </c>
      <c r="F59" s="18" t="s">
        <v>19</v>
      </c>
      <c r="G59" t="s">
        <v>82</v>
      </c>
      <c r="I59" s="12">
        <v>9869.0999999999985</v>
      </c>
    </row>
    <row r="60" spans="1:9" x14ac:dyDescent="0.25">
      <c r="A60" t="s">
        <v>19</v>
      </c>
      <c r="B60" t="s">
        <v>243</v>
      </c>
      <c r="C60" s="12">
        <v>15</v>
      </c>
      <c r="D60" s="12">
        <v>615.29999999999995</v>
      </c>
      <c r="F60" s="18" t="s">
        <v>19</v>
      </c>
      <c r="G60" t="s">
        <v>243</v>
      </c>
      <c r="I60" s="12">
        <v>615.29999999999995</v>
      </c>
    </row>
    <row r="61" spans="1:9" x14ac:dyDescent="0.25">
      <c r="A61" t="s">
        <v>19</v>
      </c>
      <c r="B61" t="s">
        <v>1911</v>
      </c>
      <c r="C61" s="12">
        <v>3</v>
      </c>
      <c r="D61" s="12">
        <v>285</v>
      </c>
      <c r="F61" s="19" t="s">
        <v>19</v>
      </c>
      <c r="G61" t="s">
        <v>1911</v>
      </c>
      <c r="I61" s="12">
        <v>285</v>
      </c>
    </row>
    <row r="62" spans="1:9" x14ac:dyDescent="0.25">
      <c r="A62" t="s">
        <v>2566</v>
      </c>
      <c r="C62" s="12">
        <v>11997</v>
      </c>
      <c r="D62" s="12">
        <v>649019.79999999981</v>
      </c>
      <c r="F62" s="21" t="s">
        <v>2566</v>
      </c>
      <c r="G62" s="21"/>
      <c r="I62" s="22">
        <v>649019.79999999981</v>
      </c>
    </row>
    <row r="63" spans="1:9" x14ac:dyDescent="0.25">
      <c r="A63" t="s">
        <v>2562</v>
      </c>
      <c r="C63" s="12">
        <v>11997</v>
      </c>
      <c r="D63" s="12">
        <v>649019.79999999981</v>
      </c>
      <c r="F63" s="17" t="s">
        <v>2562</v>
      </c>
      <c r="I63" s="20">
        <v>649019.79999999981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E6654-4C56-4A15-ADFA-52F4B8F7B0C3}">
  <dimension ref="A3:A8"/>
  <sheetViews>
    <sheetView workbookViewId="0">
      <selection activeCell="A3" sqref="A3"/>
    </sheetView>
  </sheetViews>
  <sheetFormatPr defaultRowHeight="15" x14ac:dyDescent="0.25"/>
  <cols>
    <col min="1" max="1" width="13.42578125" bestFit="1" customWidth="1"/>
  </cols>
  <sheetData>
    <row r="3" spans="1:1" x14ac:dyDescent="0.25">
      <c r="A3" s="14" t="s">
        <v>2561</v>
      </c>
    </row>
    <row r="4" spans="1:1" x14ac:dyDescent="0.25">
      <c r="A4" s="15"/>
    </row>
    <row r="5" spans="1:1" x14ac:dyDescent="0.25">
      <c r="A5" s="15" t="s">
        <v>27</v>
      </c>
    </row>
    <row r="6" spans="1:1" x14ac:dyDescent="0.25">
      <c r="A6" s="15" t="s">
        <v>23</v>
      </c>
    </row>
    <row r="7" spans="1:1" x14ac:dyDescent="0.25">
      <c r="A7" s="15" t="s">
        <v>89</v>
      </c>
    </row>
    <row r="8" spans="1:1" x14ac:dyDescent="0.25">
      <c r="A8" s="15" t="s">
        <v>2562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18793-FBB4-4AAE-AD8D-2BAAF1C9ACC1}">
  <dimension ref="A3:B7"/>
  <sheetViews>
    <sheetView workbookViewId="0">
      <selection activeCell="A4" sqref="A4"/>
    </sheetView>
  </sheetViews>
  <sheetFormatPr defaultRowHeight="15" x14ac:dyDescent="0.25"/>
  <cols>
    <col min="1" max="1" width="13.42578125" bestFit="1" customWidth="1"/>
    <col min="2" max="2" width="17" bestFit="1" customWidth="1"/>
  </cols>
  <sheetData>
    <row r="3" spans="1:2" x14ac:dyDescent="0.25">
      <c r="A3" s="14" t="s">
        <v>2561</v>
      </c>
      <c r="B3" t="s">
        <v>2567</v>
      </c>
    </row>
    <row r="4" spans="1:2" x14ac:dyDescent="0.25">
      <c r="A4" s="15" t="s">
        <v>2563</v>
      </c>
      <c r="B4" s="12">
        <v>2304</v>
      </c>
    </row>
    <row r="5" spans="1:2" x14ac:dyDescent="0.25">
      <c r="A5" s="15" t="s">
        <v>2564</v>
      </c>
      <c r="B5" s="12">
        <v>6355</v>
      </c>
    </row>
    <row r="6" spans="1:2" x14ac:dyDescent="0.25">
      <c r="A6" s="15" t="s">
        <v>2565</v>
      </c>
      <c r="B6" s="12">
        <v>9209</v>
      </c>
    </row>
    <row r="7" spans="1:2" x14ac:dyDescent="0.25">
      <c r="A7" s="15" t="s">
        <v>2562</v>
      </c>
      <c r="B7" s="12">
        <v>17868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topLeftCell="A2" zoomScale="84" workbookViewId="0">
      <selection activeCell="F4" sqref="F4"/>
    </sheetView>
  </sheetViews>
  <sheetFormatPr defaultRowHeight="15" x14ac:dyDescent="0.25"/>
  <cols>
    <col min="2" max="2" width="19.140625" bestFit="1" customWidth="1"/>
    <col min="3" max="3" width="8.140625" bestFit="1" customWidth="1"/>
    <col min="4" max="4" width="9.140625" bestFit="1" customWidth="1"/>
    <col min="5" max="5" width="7.42578125" bestFit="1" customWidth="1"/>
    <col min="6" max="6" width="10" bestFit="1" customWidth="1"/>
    <col min="7" max="7" width="9.42578125" bestFit="1" customWidth="1"/>
    <col min="8" max="8" width="15.7109375" bestFit="1" customWidth="1"/>
    <col min="9" max="9" width="10.7109375" bestFit="1" customWidth="1"/>
    <col min="10" max="10" width="7.7109375" bestFit="1" customWidth="1"/>
    <col min="11" max="11" width="8.7109375" bestFit="1" customWidth="1"/>
    <col min="12" max="12" width="19.7109375" bestFit="1" customWidth="1"/>
    <col min="13" max="13" width="13.28515625" bestFit="1" customWidth="1"/>
    <col min="14" max="14" width="9.28515625" bestFit="1" customWidth="1"/>
    <col min="15" max="15" width="12.140625" bestFit="1" customWidth="1"/>
  </cols>
  <sheetData>
    <row r="1" spans="1:15" x14ac:dyDescent="0.25">
      <c r="A1" t="s">
        <v>0</v>
      </c>
      <c r="B1" t="s">
        <v>1</v>
      </c>
      <c r="C1" t="s">
        <v>2</v>
      </c>
      <c r="D1" t="s">
        <v>3</v>
      </c>
      <c r="E1" t="s">
        <v>4</v>
      </c>
      <c r="F1" t="s">
        <v>5</v>
      </c>
      <c r="G1" t="s">
        <v>6</v>
      </c>
      <c r="H1" t="s">
        <v>7</v>
      </c>
      <c r="I1" t="s">
        <v>8</v>
      </c>
      <c r="J1" t="s">
        <v>9</v>
      </c>
      <c r="K1" t="s">
        <v>10</v>
      </c>
      <c r="L1" t="s">
        <v>11</v>
      </c>
      <c r="M1" s="2" t="s">
        <v>12</v>
      </c>
      <c r="N1" s="2" t="s">
        <v>13</v>
      </c>
      <c r="O1" s="2" t="s">
        <v>14</v>
      </c>
    </row>
    <row r="2" spans="1:15" x14ac:dyDescent="0.25">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x14ac:dyDescent="0.25">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x14ac:dyDescent="0.25">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x14ac:dyDescent="0.25">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x14ac:dyDescent="0.25">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x14ac:dyDescent="0.25">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x14ac:dyDescent="0.25">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x14ac:dyDescent="0.25">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x14ac:dyDescent="0.25">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x14ac:dyDescent="0.25">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x14ac:dyDescent="0.25">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x14ac:dyDescent="0.25">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x14ac:dyDescent="0.25">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x14ac:dyDescent="0.25">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x14ac:dyDescent="0.25">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25">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25">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25">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25">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25">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25">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25">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25">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25">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25">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25">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25">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25">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25">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25">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25">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25">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25">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25">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25">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25">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25">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25">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25">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25">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25">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25">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25">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25">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25">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25">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25">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25">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25">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25">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25">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25">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25">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25">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25">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25">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25">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25">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25">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25">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25">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25">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25">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25">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25">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25">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25">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25">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25">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25">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25">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25">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25">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25">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25">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25">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25">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25">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25">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25">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25">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25">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25">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25">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25">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25">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25">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25">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25">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25">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25">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25">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25">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25">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25">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25">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25">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25">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25">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25">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25">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25">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25">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25">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25">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25">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25">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25">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25">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25">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25">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25">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25">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25">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25">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25">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25">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25">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25">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25">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25">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25">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25">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25">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25">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25">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25">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25">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25">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25">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25">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25">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25">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25">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25">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25">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25">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25">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25">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25">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25">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25">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25">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25">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25">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25">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25">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25">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25">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25">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25">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25">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25">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25">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25">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25">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25">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25">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25">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25">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25">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25">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25">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25">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25">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25">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25">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25">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25">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25">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25">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25">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25">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25">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25">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25">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25">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25">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25">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25">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25">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25">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25">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25">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25">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25">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25">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25">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25">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25">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25">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25">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25">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25">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25">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25">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25">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25">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25">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25">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25">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25">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25">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25">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25">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25">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25">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25">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25">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25">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25">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25">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25">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25">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25">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25">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25">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25">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25">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25">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25">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25">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25">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25">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25">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25">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25">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25">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25">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25">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25">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25">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25">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25">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25">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25">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25">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25">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25">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25">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25">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25">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25">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25">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25">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25">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25">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25">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25">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25">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25">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25">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25">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25">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25">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25">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25">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25">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25">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25">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25">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25">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25">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25">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25">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25">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25">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25">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25">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25">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25">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25">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25">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25">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25">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25">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25">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25">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25">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25">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25">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25">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25">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25">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25">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25">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25">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25">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25">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25">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25">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25">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25">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25">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25">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25">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25">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25">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25">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25">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25">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25">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25">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25">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25">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25">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25">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25">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25">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25">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25">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25">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25">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25">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25">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25">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25">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25">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25">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25">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25">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25">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25">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25">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25">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25">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25">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25">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25">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25">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25">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25">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25">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25">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25">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25">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25">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25">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25">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25">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25">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25">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25">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25">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25">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25">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25">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25">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25">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25">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25">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25">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25">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25">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25">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25">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25">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25">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25">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25">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25">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25">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25">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25">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25">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25">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25">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25">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25">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25">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25">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25">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25">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25">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25">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25">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25">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25">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25">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25">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25">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25">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25">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25">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25">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25">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25">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25">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25">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25">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25">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25">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25">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25">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25">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25">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25">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25">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25">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25">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25">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25">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25">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25">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25">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25">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25">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25">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25">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25">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25">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25">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25">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25">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25">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25">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25">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25">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25">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25">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25">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25">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25">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25">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25">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25">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25">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25">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25">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25">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25">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25">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25">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25">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25">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25">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25">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25">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25">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25">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25">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25">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25">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25">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25">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25">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25">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25">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25">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25">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25">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25">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25">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25">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25">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25">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25">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25">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25">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25">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25">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25">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25">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25">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25">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25">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25">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25">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25">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25">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25">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25">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25">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25">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25">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25">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25">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25">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25">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25">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25">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25">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25">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25">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25">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25">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25">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25">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25">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25">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25">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25">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25">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25">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25">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25">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25">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25">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25">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25">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25">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25">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25">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25">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25">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25">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25">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25">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25">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25">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25">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25">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25">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25">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25">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25">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25">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25">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25">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25">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25">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25">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25">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25">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25">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25">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25">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25">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25">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25">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25">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25">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25">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25">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25">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25">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25">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25">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25">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25">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25">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25">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25">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25">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25">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25">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25">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25">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25">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25">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25">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25">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25">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25">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25">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25">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25">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25">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25">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25">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25">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25">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25">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25">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25">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25">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25">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25">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25">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25">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25">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25">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25">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25">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25">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25">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25">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25">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25">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25">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25">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25">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25">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25">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25">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25">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25">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25">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25">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25">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25">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25">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25">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25">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25">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25">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25">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25">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25">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25">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25">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25">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25">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25">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25">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25">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25">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25">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25">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25">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25">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25">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25">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25">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25">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25">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25">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25">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25">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25">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25">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25">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25">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25">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25">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25">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25">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25">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25">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25">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25">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25">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25">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25">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25">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25">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25">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25">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25">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25">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25">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25">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25">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25">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25">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25">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25">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25">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25">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25">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25">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25">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25">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25">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25">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25">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25">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25">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25">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25">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25">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25">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25">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25">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25">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25">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25">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25">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25">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25">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25">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25">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25">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25">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25">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25">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25">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25">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25">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25">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25">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25">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25">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25">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25">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25">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25">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25">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25">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25">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25">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25">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25">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25">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25">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25">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25">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25">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25">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25">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25">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25">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25">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25">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25">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25">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25">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25">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25">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25">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25">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25">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25">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25">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25">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25">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25">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25">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25">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25">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25">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25">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25">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25">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25">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25">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25">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25">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25">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25">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25">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25">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25">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25">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25">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25">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25">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25">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25">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25">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25">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25">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25">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25">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25">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25">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25">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25">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25">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25">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25">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25">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25">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25">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25">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25">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25">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25">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25">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25">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25">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25">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25">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25">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25">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25">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25">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25">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25">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25">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25">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25">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25">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25">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25">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25">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25">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25">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25">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25">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25">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25">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25">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25">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25">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25">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25">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25">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25">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25">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25">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25">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25">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25">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25">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25">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25">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25">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25">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25">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25">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25">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25">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25">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25">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25">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25">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25">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25">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25">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25">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25">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25">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25">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25">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25">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25">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25">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25">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25">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25">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25">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25">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25">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25">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25">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25">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25">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25">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25">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25">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25">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25">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25">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25">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25">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25">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25">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25">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25">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25">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25">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25">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25">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25">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25">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25">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25">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25">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25">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25">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25">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25">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25">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25">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25">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25">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25">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25">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25">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25">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25">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25">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25">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25">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25">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25">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25">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25">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25">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25">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25">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25">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25">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25">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25">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25">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25">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25">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25">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25">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25">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25">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25">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25">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25">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25">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25">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25">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25">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25">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25">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25">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25">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25">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25">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25">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25">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25">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25">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25">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25">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25">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25">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25">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25">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25">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25">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25">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25">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25">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25">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25">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25">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25">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25">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25">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25">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25">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25">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25">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25">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25">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25">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25">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25">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25">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25">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25">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25">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25">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25">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25">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25">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25">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25">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25">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25">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25">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25">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25">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25">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25">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25">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25">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25">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25">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25">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25">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25">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25">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25">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25">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25">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25">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25">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25">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25">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25">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25">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25">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25">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25">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25">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25">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25">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25">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25">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25">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25">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25">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25">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25">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25">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25">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25">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25">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25">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25">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25">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25">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25">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25">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25">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25">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25">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25">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25">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25">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25">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25">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25">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25">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25">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25">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25">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25">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25">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25">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25">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25">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25">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25">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25">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25">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25">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25">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25">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25">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25">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25">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25">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25">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25">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25">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25">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25">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25">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25">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25">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25">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25">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25">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25">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25">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25">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25">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25">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25">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25">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25">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25">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25">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25">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25">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25">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25">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25">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25">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25">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25">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25">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25">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25">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25">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25">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25">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25">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25">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25">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25">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25">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25">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25">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25">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25">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25">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25">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25">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25">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25">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25">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25">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25">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25">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25">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25">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25">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25">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25">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25">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25">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25">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25">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25">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25">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25">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25">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25">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25">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25">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25">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25">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25">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25">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25">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25">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25">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25">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25">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25">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25">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25">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25">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25">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25">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25">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25">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25">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25">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25">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25">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25">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25">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25">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25">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25">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25">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25">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25">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25">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25">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25">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25">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25">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25">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25">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25">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25">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25">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25">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25">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25">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25">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25">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25">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25">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25">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25">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25">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25">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25">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25">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25">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25">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25">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25">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25">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25">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25">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25">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25">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25">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25">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25">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25">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25">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25">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25">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25">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25">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25">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25">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25">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25">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25">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25">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25">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25">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25">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25">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25">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25">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25">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25">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25">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25">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25">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25">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25">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25">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25">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25">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25">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25">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25">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25">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25">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25">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25">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25">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25">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25">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25">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25">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25">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25">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25">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25">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25">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25">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25">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25">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25">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25">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25">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25">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25">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25">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25">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25">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25">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25">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25">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25">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25">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25">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25">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25">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25">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25">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25">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25">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25">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25">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25">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25">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25">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25">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25">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25">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25">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25">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25">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25">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25">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25">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25">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25">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25">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25">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25">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25">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25">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25">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25">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25">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25">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25">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25">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25">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25">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25">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25">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25">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25">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25">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25">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25">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25">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25">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25">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25">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25">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25">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25">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25">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25">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25">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25">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25">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25">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25">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25">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25">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25">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25">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25">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25">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25">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25">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25">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25">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25">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25">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25">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25">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25">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25">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25">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25">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25">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25">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25">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25">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25">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25">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25">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25">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25">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25">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25">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25">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25">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25">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25">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25">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25">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25">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25">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25">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25">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25">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25">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25">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25">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25">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25">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25">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25">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25">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25">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25">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25">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25">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25">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25">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25">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25">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25">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25">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25">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25">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25">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25">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25">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25">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25">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25">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25">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25">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25">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25">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25">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25">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25">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25">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25">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25">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25">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25">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25">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25">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25">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25">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25">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25">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25">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25">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25">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25">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25">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25">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25">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25">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25">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25">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25">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25">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25">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25">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25">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25">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25">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25">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25">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25">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25">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25">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25">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25">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25">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25">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25">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25">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25">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25">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25">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25">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25">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25">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25">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25">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25">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25">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25">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25">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25">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25">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25">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25">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25">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25">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25">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25">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25">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25">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25">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25">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25">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25">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25">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25">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25">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25">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25">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25">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25">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25">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25">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25">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25">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25">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25">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25">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25">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25">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25">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25">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25">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25">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25">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25">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25">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25">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25">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25">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25">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25">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25">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25">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25">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25">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25">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25">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25">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25">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25">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25">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25">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25">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25">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25">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25">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25">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25">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25">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25">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25">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25">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25">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25">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25">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25">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25">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25">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25">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25">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25">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25">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25">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25">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25">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25">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25">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25">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25">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25">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25">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25">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25">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25">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25">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25">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25">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25">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25">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25">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25">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25">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25">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25">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25">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25">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25">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25">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25">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25">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25">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25">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25">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25">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25">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25">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25">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25">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25">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25">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25">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25">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25">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25">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25">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25">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25">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25">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25">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25">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25">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25">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25">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25">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25">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25">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25">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25">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25">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25">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25">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25">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25">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25">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25">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25">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25">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25">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25">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25">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25">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25">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25">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25">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25">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25">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25">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25">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25">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25">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25">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25">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25">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25">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25">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25">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25">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25">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25">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25">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25">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25">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25">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25">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25">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25">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25">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25">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25">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25">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25">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25">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25">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25">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25">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25">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25">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25">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25">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25">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25">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25">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25">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25">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25">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25">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25">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25">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25">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25">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25">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25">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25">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25">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25">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25">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25">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25">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25">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25">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25">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25">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25">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25">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25">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25">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25">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25">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25">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25">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25">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25">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25">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25">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25">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25">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25">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25">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25">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25">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25">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25">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25">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25">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25">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25">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25">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25">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25">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25">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25">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25">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25">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25">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25">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25">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25">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25">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25">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25">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25">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25">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25">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25">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25">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25">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25">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25">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25">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25">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25">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25">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25">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25">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25">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25">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25">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25">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25">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25">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25">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25">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25">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25">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25">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25">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25">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25">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25">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25">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25">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25">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25">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25">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25">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25">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25">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25">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25">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25">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25">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25">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25">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25">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25">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25">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25">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25">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25">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25">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25">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25">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25">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25">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25">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25">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25">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25">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25">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25">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25">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25">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25">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25">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25">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25">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25">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25">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25">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25">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25">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25">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25">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25">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25">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25">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25">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25">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25">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25">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25">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25">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25">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25">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25">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25">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25">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25">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25">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25">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25">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25">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25">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25">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25">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25">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25">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25">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25">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25">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25">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25">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25">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25">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25">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25">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25">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25">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25">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25">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25">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25">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25">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25">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25">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25">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25">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25">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25">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25">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25">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25">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25">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25">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25">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25">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25">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25">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25">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25">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25">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25">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25">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25">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25">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25">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25">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25">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25">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25">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25">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25">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25">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25">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25">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25">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25">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25">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25">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25">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25">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25">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25">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25">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25">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25">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25">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25">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25">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25">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25">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25">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25">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25">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25">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25">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25">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25">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25">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25">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25">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25">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25">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25">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25">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25">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25">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25">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25">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25">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25">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25">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25">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25">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25">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25">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25">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25">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25">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25">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25">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25">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25">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25">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25">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25">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25">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25">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25">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25">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25">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25">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25">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25">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25">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25">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25">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25">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25">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25">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25">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25">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25">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25">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25">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25">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25">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25">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25">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25">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25">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25">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25">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25">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25">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25">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25">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25">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25">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25">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25">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25">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25">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25">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25">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25">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25">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25">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25">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25">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25">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25">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25">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25">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25">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25">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25">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25">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25">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25">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25">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25">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25">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25">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25">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25">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25">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25">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25">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25">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25">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25">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25">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25">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25">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25">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25">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25">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25">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25">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25">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25">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25">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25">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25">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25">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25">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25">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25">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25">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25">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25">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25">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25">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25">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25">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25">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25">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25">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25">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25">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25">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25">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25">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25">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25">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25">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25">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25">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25">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25">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25">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25">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25">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25">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25">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25">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25">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25">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25">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25">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25">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25">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25">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25">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25">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25">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25">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25">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25">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25">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25">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25">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25">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25">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25">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25">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25">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25">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25">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25">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25">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25">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25">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25">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25">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25">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25">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25">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25">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25">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25">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25">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25">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25">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25">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25">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25">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25">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25">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25">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25">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25">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25">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25">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25">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25">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25">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25">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25">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25">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25">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25">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25">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25">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25">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25">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25">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25">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25">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25">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25">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25">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25">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25">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25">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25">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25">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25">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25">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25">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25">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25">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25">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25">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25">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25">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25">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25">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25">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25">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25">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25">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25">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25">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25">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25">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25">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25">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25">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25">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25">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25">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25">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25">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25">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25">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25">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25">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25">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25">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25">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25">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25">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25">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25">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25">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25">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25">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25">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25">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25">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25">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25">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25">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25">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25">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25">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25">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25">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25">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25">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25">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25">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25">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25">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25">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25">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25">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25">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25">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25">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25">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25">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25">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25">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25">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25">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25">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25">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25">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25">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25">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25">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25">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25">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25">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25">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25">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25">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25">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25">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25">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25">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25">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25">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25">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25">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25">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25">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25">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25">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25">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25">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25">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25">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25">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25">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25">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25">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25">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25">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25">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25">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25">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25">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25">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25">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25">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25">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25">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25">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25">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25">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25">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25">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25">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25">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25">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25">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25">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25">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25">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25">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25">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25">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25">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25">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25">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25">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25">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25">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25">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25">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25">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25">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25">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25">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25">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25">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25">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25">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25">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25">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25">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25">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25">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25">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25">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25">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25">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25">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25">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25">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25">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25">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25">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25">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25">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25">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25">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25">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25">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25">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25">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25">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25">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25">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25">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25">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25">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25">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25">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25">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25">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25">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25">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25">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25">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25">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25">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25">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25">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25">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25">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25">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25">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25">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25">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25">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25">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25">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25">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25">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25">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25">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25">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25">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25">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25">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25">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25">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25">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25">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25">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25">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25">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25">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25">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25">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25">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25">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25">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25">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25">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25">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25">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25">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25">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25">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25">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25">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25">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25">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25">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25">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25">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25">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25">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25">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25">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25">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25">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25">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25">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25">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25">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25">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25">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25">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25">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25">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25">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25">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25">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25">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25">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25">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25">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25">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25">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25">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25">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25">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25">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25">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25">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25">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25">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25">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25">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25">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25">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25">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25">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25">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25">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25">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25">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25">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25">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25">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25">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25">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25">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25">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25">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25">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25">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25">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25">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25">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25">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25">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25">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25">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25">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25">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25">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25">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25">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25">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25">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25">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25">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25">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25">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25">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25">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25">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25">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25">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25">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25">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25">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25">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25">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25">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25">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25">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25">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25">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25">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25">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25">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25">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25">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25">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25">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25">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25">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25">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25">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25">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25">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25">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25">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25">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25">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25">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25">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25">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25">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25">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25">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25">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25">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25">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25">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25">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25">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25">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25">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25">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25">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25">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25">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25">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25">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25">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25">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25">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25">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25">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25">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25">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25">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25">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25">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25">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25">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25">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25">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25">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25">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25">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25">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25">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25">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25">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25">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25">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25">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25">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25">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25">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25">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25">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25">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25">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25">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25">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25">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25">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25">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25">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25">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25">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25">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25">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25">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25">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17FCB-21F9-4D2E-8E1F-B0D636950C4F}">
  <dimension ref="A3:L25"/>
  <sheetViews>
    <sheetView workbookViewId="0">
      <selection activeCell="C12" sqref="C12"/>
    </sheetView>
  </sheetViews>
  <sheetFormatPr defaultRowHeight="15" x14ac:dyDescent="0.25"/>
  <cols>
    <col min="1" max="1" width="14" bestFit="1" customWidth="1"/>
    <col min="2" max="2" width="25" bestFit="1" customWidth="1"/>
    <col min="3" max="3" width="18.7109375" style="16" bestFit="1" customWidth="1"/>
    <col min="4" max="4" width="15.5703125" bestFit="1" customWidth="1"/>
    <col min="5" max="5" width="14.85546875" bestFit="1" customWidth="1"/>
  </cols>
  <sheetData>
    <row r="3" spans="1:12" x14ac:dyDescent="0.25">
      <c r="A3" t="s">
        <v>2552</v>
      </c>
      <c r="B3" t="s">
        <v>2556</v>
      </c>
      <c r="C3" s="16" t="s">
        <v>2555</v>
      </c>
      <c r="D3" t="s">
        <v>2553</v>
      </c>
      <c r="E3" t="s">
        <v>2554</v>
      </c>
      <c r="H3" t="s">
        <v>2557</v>
      </c>
    </row>
    <row r="4" spans="1:12" x14ac:dyDescent="0.25">
      <c r="A4" s="12">
        <v>2400</v>
      </c>
      <c r="B4" s="12">
        <v>2.3424999999999998</v>
      </c>
      <c r="C4" s="16">
        <v>3.9620833333333332</v>
      </c>
      <c r="D4" s="12">
        <v>11997</v>
      </c>
      <c r="E4" s="12">
        <v>649019.80000000144</v>
      </c>
      <c r="H4" t="s">
        <v>2538</v>
      </c>
      <c r="I4" t="s">
        <v>2556</v>
      </c>
      <c r="J4" t="s">
        <v>2559</v>
      </c>
      <c r="K4" t="s">
        <v>2558</v>
      </c>
      <c r="L4" t="s">
        <v>4</v>
      </c>
    </row>
    <row r="6" spans="1:12" x14ac:dyDescent="0.25">
      <c r="H6" t="str">
        <f>TEXT(A4,"#,##")</f>
        <v>2,400</v>
      </c>
      <c r="I6" t="str">
        <f>TEXT(B4,"0.0")</f>
        <v>2.3</v>
      </c>
      <c r="J6" t="str">
        <f>TEXT(C4,"0.0")</f>
        <v>4.0</v>
      </c>
      <c r="K6" t="str">
        <f t="shared" ref="I6:L6" si="0">TEXT(D4,"#,##")</f>
        <v>11,997</v>
      </c>
      <c r="L6" t="str">
        <f>TEXT(E4,"$#,##,.0k")</f>
        <v>$649.0k</v>
      </c>
    </row>
    <row r="8" spans="1:12" x14ac:dyDescent="0.25">
      <c r="A8" t="s">
        <v>2560</v>
      </c>
    </row>
    <row r="11" spans="1:12" x14ac:dyDescent="0.25">
      <c r="A11" s="14" t="s">
        <v>2561</v>
      </c>
      <c r="B11" t="s">
        <v>2553</v>
      </c>
      <c r="C11" s="16" t="s">
        <v>2554</v>
      </c>
    </row>
    <row r="12" spans="1:12" x14ac:dyDescent="0.25">
      <c r="A12" s="15">
        <v>1</v>
      </c>
      <c r="B12" s="12">
        <v>28</v>
      </c>
      <c r="C12" s="16">
        <v>1567.2</v>
      </c>
    </row>
    <row r="13" spans="1:12" x14ac:dyDescent="0.25">
      <c r="A13" s="15">
        <v>2</v>
      </c>
      <c r="B13" s="12">
        <v>30</v>
      </c>
      <c r="C13" s="16">
        <v>1115.9000000000001</v>
      </c>
    </row>
    <row r="14" spans="1:12" x14ac:dyDescent="0.25">
      <c r="A14" s="15">
        <v>3</v>
      </c>
      <c r="B14" s="12">
        <v>45</v>
      </c>
      <c r="C14" s="16">
        <v>2315.1</v>
      </c>
    </row>
    <row r="15" spans="1:12" x14ac:dyDescent="0.25">
      <c r="A15" s="15">
        <v>4</v>
      </c>
      <c r="B15" s="12">
        <v>48</v>
      </c>
      <c r="C15" s="16">
        <v>1812.1999999999998</v>
      </c>
    </row>
    <row r="16" spans="1:12" x14ac:dyDescent="0.25">
      <c r="A16" s="15">
        <v>5</v>
      </c>
      <c r="B16" s="12">
        <v>33</v>
      </c>
      <c r="C16" s="16">
        <v>1490.3</v>
      </c>
    </row>
    <row r="17" spans="1:3" x14ac:dyDescent="0.25">
      <c r="A17" s="15">
        <v>6</v>
      </c>
      <c r="B17" s="12">
        <v>60</v>
      </c>
      <c r="C17" s="16">
        <v>3164.5</v>
      </c>
    </row>
    <row r="18" spans="1:3" x14ac:dyDescent="0.25">
      <c r="A18" s="15">
        <v>7</v>
      </c>
      <c r="B18" s="12">
        <v>77</v>
      </c>
      <c r="C18" s="16">
        <v>7220.9</v>
      </c>
    </row>
    <row r="19" spans="1:3" x14ac:dyDescent="0.25">
      <c r="A19" s="15">
        <v>8</v>
      </c>
      <c r="B19" s="12">
        <v>55</v>
      </c>
      <c r="C19" s="16">
        <v>2771.3</v>
      </c>
    </row>
    <row r="20" spans="1:3" x14ac:dyDescent="0.25">
      <c r="A20" s="15">
        <v>9</v>
      </c>
      <c r="B20" s="12">
        <v>133</v>
      </c>
      <c r="C20" s="16">
        <v>12498.000000000004</v>
      </c>
    </row>
    <row r="21" spans="1:3" x14ac:dyDescent="0.25">
      <c r="A21" s="15">
        <v>10</v>
      </c>
      <c r="B21" s="12">
        <v>106</v>
      </c>
      <c r="C21" s="16">
        <v>8208.9</v>
      </c>
    </row>
    <row r="22" spans="1:3" x14ac:dyDescent="0.25">
      <c r="A22" s="15">
        <v>11</v>
      </c>
      <c r="B22" s="12">
        <v>40</v>
      </c>
      <c r="C22" s="16">
        <v>2464.7999999999997</v>
      </c>
    </row>
    <row r="23" spans="1:3" x14ac:dyDescent="0.25">
      <c r="A23" s="15">
        <v>12</v>
      </c>
      <c r="B23" s="12">
        <v>26</v>
      </c>
      <c r="C23" s="16">
        <v>1022.1999999999998</v>
      </c>
    </row>
    <row r="24" spans="1:3" x14ac:dyDescent="0.25">
      <c r="A24" s="15">
        <v>13</v>
      </c>
      <c r="B24" s="12">
        <v>55</v>
      </c>
      <c r="C24" s="16">
        <v>4731.0999999999995</v>
      </c>
    </row>
    <row r="25" spans="1:3" x14ac:dyDescent="0.25">
      <c r="A25" s="15" t="s">
        <v>2562</v>
      </c>
      <c r="B25" s="12">
        <v>736</v>
      </c>
      <c r="C25" s="16">
        <v>50382.400000000001</v>
      </c>
    </row>
  </sheetData>
  <pageMargins left="0.7" right="0.7" top="0.75" bottom="0.75" header="0.3" footer="0.3"/>
  <pageSetup orientation="portrait" r:id="rId3"/>
  <drawing r:id="rId4"/>
  <extLst>
    <ext xmlns:x14="http://schemas.microsoft.com/office/spreadsheetml/2009/9/main" uri="{A8765BA9-456A-4dab-B4F3-ACF838C121DE}">
      <x14:slicerList>
        <x14:slicer r:id="rId5"/>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8"/>
  <sheetViews>
    <sheetView workbookViewId="0">
      <selection activeCell="B11" sqref="B11"/>
    </sheetView>
  </sheetViews>
  <sheetFormatPr defaultRowHeight="15" x14ac:dyDescent="0.25"/>
  <cols>
    <col min="1" max="1" width="3.7109375" customWidth="1"/>
    <col min="2" max="2" width="52.7109375" customWidth="1"/>
  </cols>
  <sheetData>
    <row r="2" spans="2:2" x14ac:dyDescent="0.25">
      <c r="B2" s="3" t="s">
        <v>2503</v>
      </c>
    </row>
    <row r="3" spans="2:2" x14ac:dyDescent="0.25">
      <c r="B3" s="4" t="s">
        <v>2504</v>
      </c>
    </row>
    <row r="4" spans="2:2" x14ac:dyDescent="0.25">
      <c r="B4" s="4" t="s">
        <v>2505</v>
      </c>
    </row>
    <row r="5" spans="2:2" x14ac:dyDescent="0.25">
      <c r="B5" s="4" t="s">
        <v>2506</v>
      </c>
    </row>
    <row r="6" spans="2:2" x14ac:dyDescent="0.25">
      <c r="B6" s="4" t="s">
        <v>2507</v>
      </c>
    </row>
    <row r="7" spans="2:2" x14ac:dyDescent="0.25">
      <c r="B7" s="4" t="s">
        <v>2508</v>
      </c>
    </row>
    <row r="10" spans="2:2" x14ac:dyDescent="0.25">
      <c r="B10" s="3" t="s">
        <v>2509</v>
      </c>
    </row>
    <row r="11" spans="2:2" x14ac:dyDescent="0.25">
      <c r="B11" t="s">
        <v>2510</v>
      </c>
    </row>
    <row r="12" spans="2:2" x14ac:dyDescent="0.25">
      <c r="B12" t="s">
        <v>2511</v>
      </c>
    </row>
    <row r="13" spans="2:2" x14ac:dyDescent="0.25">
      <c r="B13" t="s">
        <v>2512</v>
      </c>
    </row>
    <row r="14" spans="2:2" x14ac:dyDescent="0.25">
      <c r="B14" t="s">
        <v>2513</v>
      </c>
    </row>
    <row r="15" spans="2:2" x14ac:dyDescent="0.25">
      <c r="B15" t="s">
        <v>2514</v>
      </c>
    </row>
    <row r="16" spans="2:2" x14ac:dyDescent="0.25">
      <c r="B16" t="s">
        <v>2515</v>
      </c>
    </row>
    <row r="17" spans="2:2" x14ac:dyDescent="0.25">
      <c r="B17" t="s">
        <v>2516</v>
      </c>
    </row>
    <row r="18" spans="2:2" x14ac:dyDescent="0.25">
      <c r="B18" t="s">
        <v>2517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8FF67-6F2A-40D1-BD8F-FC8AD44723FB}">
  <dimension ref="A1"/>
  <sheetViews>
    <sheetView workbookViewId="0">
      <selection activeCell="AE6" sqref="AE6"/>
    </sheetView>
  </sheetViews>
  <sheetFormatPr defaultRowHeight="15" x14ac:dyDescent="0.25"/>
  <cols>
    <col min="1" max="1" width="3.28515625" customWidth="1"/>
    <col min="2" max="2" width="22.28515625" customWidth="1"/>
    <col min="3" max="4" width="3.28515625" customWidth="1"/>
    <col min="26" max="26" width="3.28515625" customWidth="1"/>
  </cols>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1D30B-60E4-4685-B421-10EFD7769A97}">
  <dimension ref="B2:H24"/>
  <sheetViews>
    <sheetView workbookViewId="0">
      <selection activeCell="B18" sqref="B18"/>
    </sheetView>
  </sheetViews>
  <sheetFormatPr defaultRowHeight="15" x14ac:dyDescent="0.25"/>
  <cols>
    <col min="1" max="1" width="3.28515625" customWidth="1"/>
    <col min="8" max="8" width="37.28515625" customWidth="1"/>
  </cols>
  <sheetData>
    <row r="2" spans="2:8" x14ac:dyDescent="0.25">
      <c r="H2" t="s">
        <v>2548</v>
      </c>
    </row>
    <row r="3" spans="2:8" x14ac:dyDescent="0.25">
      <c r="B3" t="s">
        <v>2518</v>
      </c>
    </row>
    <row r="4" spans="2:8" x14ac:dyDescent="0.25">
      <c r="H4" s="11" t="s">
        <v>2549</v>
      </c>
    </row>
    <row r="5" spans="2:8" x14ac:dyDescent="0.25">
      <c r="B5" t="s">
        <v>2519</v>
      </c>
      <c r="H5" s="11" t="s">
        <v>2550</v>
      </c>
    </row>
    <row r="6" spans="2:8" x14ac:dyDescent="0.25">
      <c r="B6" s="5"/>
      <c r="C6" t="s">
        <v>2520</v>
      </c>
      <c r="D6" t="s">
        <v>2526</v>
      </c>
      <c r="H6" t="s">
        <v>2551</v>
      </c>
    </row>
    <row r="7" spans="2:8" x14ac:dyDescent="0.25">
      <c r="B7" s="6"/>
      <c r="C7" t="s">
        <v>2521</v>
      </c>
      <c r="D7" t="s">
        <v>2527</v>
      </c>
    </row>
    <row r="8" spans="2:8" x14ac:dyDescent="0.25">
      <c r="B8" s="7"/>
      <c r="C8" t="s">
        <v>2522</v>
      </c>
      <c r="D8" t="s">
        <v>2528</v>
      </c>
    </row>
    <row r="9" spans="2:8" x14ac:dyDescent="0.25">
      <c r="B9" s="8"/>
      <c r="C9" t="s">
        <v>2523</v>
      </c>
      <c r="D9" t="s">
        <v>2529</v>
      </c>
    </row>
    <row r="10" spans="2:8" x14ac:dyDescent="0.25">
      <c r="B10" s="9"/>
      <c r="C10" t="s">
        <v>2524</v>
      </c>
      <c r="D10" t="s">
        <v>2530</v>
      </c>
    </row>
    <row r="11" spans="2:8" x14ac:dyDescent="0.25">
      <c r="B11" s="2"/>
      <c r="C11" t="s">
        <v>2525</v>
      </c>
      <c r="D11" t="s">
        <v>2531</v>
      </c>
    </row>
    <row r="13" spans="2:8" x14ac:dyDescent="0.25">
      <c r="B13" t="s">
        <v>2532</v>
      </c>
    </row>
    <row r="14" spans="2:8" x14ac:dyDescent="0.25">
      <c r="B14" t="s">
        <v>2533</v>
      </c>
      <c r="C14" t="s">
        <v>2538</v>
      </c>
    </row>
    <row r="15" spans="2:8" x14ac:dyDescent="0.25">
      <c r="B15" t="s">
        <v>2534</v>
      </c>
      <c r="C15" t="s">
        <v>2</v>
      </c>
    </row>
    <row r="16" spans="2:8" x14ac:dyDescent="0.25">
      <c r="B16" t="s">
        <v>2535</v>
      </c>
      <c r="C16" t="s">
        <v>4</v>
      </c>
    </row>
    <row r="17" spans="2:3" x14ac:dyDescent="0.25">
      <c r="B17" t="s">
        <v>2536</v>
      </c>
      <c r="C17" t="s">
        <v>2539</v>
      </c>
    </row>
    <row r="18" spans="2:3" x14ac:dyDescent="0.25">
      <c r="B18" t="s">
        <v>2537</v>
      </c>
      <c r="C18" t="s">
        <v>2540</v>
      </c>
    </row>
    <row r="21" spans="2:3" x14ac:dyDescent="0.25">
      <c r="B21" t="s">
        <v>2541</v>
      </c>
    </row>
    <row r="22" spans="2:3" x14ac:dyDescent="0.25">
      <c r="B22" t="s">
        <v>2542</v>
      </c>
      <c r="C22" t="s">
        <v>2543</v>
      </c>
    </row>
    <row r="23" spans="2:3" x14ac:dyDescent="0.25">
      <c r="B23" t="s">
        <v>2544</v>
      </c>
      <c r="C23" t="s">
        <v>2545</v>
      </c>
    </row>
    <row r="24" spans="2:3" x14ac:dyDescent="0.25">
      <c r="B24" s="10" t="s">
        <v>2546</v>
      </c>
      <c r="C24" t="s">
        <v>2547</v>
      </c>
    </row>
  </sheetData>
  <phoneticPr fontId="2" type="noConversion"/>
  <hyperlinks>
    <hyperlink ref="H4" r:id="rId1" xr:uid="{A77862B0-B580-43DF-9272-7B32B5A35427}"/>
    <hyperlink ref="H5" r:id="rId2" xr:uid="{602AE8E3-2587-4F74-A241-C4690768D1EC}"/>
  </hyperlink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e commerce dashboard</vt:lpstr>
      <vt:lpstr>Sheet20</vt:lpstr>
      <vt:lpstr>Sheet21</vt:lpstr>
      <vt:lpstr>Sheet22</vt:lpstr>
      <vt:lpstr>Data</vt:lpstr>
      <vt:lpstr>Sheet1</vt:lpstr>
      <vt:lpstr>Questions &amp; KPIs</vt:lpstr>
      <vt:lpstr>Dashboard</vt:lpstr>
      <vt:lpstr>Logo &amp; Colors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jeslin leethiyal</cp:lastModifiedBy>
  <dcterms:created xsi:type="dcterms:W3CDTF">2025-06-13T02:42:26Z</dcterms:created>
  <dcterms:modified xsi:type="dcterms:W3CDTF">2026-08-01T06:12:32Z</dcterms:modified>
</cp:coreProperties>
</file>